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df1b3dad1247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ملخص" sheetId="1" r:id="Rb034c6ea16c24ad2"/>
    <x:sheet xmlns:r="http://schemas.openxmlformats.org/officeDocument/2006/relationships" name="تسوية الـ89" sheetId="2" r:id="R600d192417854082"/>
    <x:sheet xmlns:r="http://schemas.openxmlformats.org/officeDocument/2006/relationships" name="التعارضات المالية" sheetId="3" r:id="R7112cc85356240b9"/>
    <x:sheet xmlns:r="http://schemas.openxmlformats.org/officeDocument/2006/relationships" name="ضبط الأسماء" sheetId="4" r:id="Rf5a8a8e710e340ce"/>
    <x:sheet xmlns:r="http://schemas.openxmlformats.org/officeDocument/2006/relationships" name="تدقيق المطالبات القانونية" sheetId="5" r:id="Rc4c38d2b5bb34909"/>
    <x:sheet xmlns:r="http://schemas.openxmlformats.org/officeDocument/2006/relationships" name="المصادر والضوابط" sheetId="6" r:id="R918ae59b0bd34879"/>
    <x:sheet xmlns:r="http://schemas.openxmlformats.org/officeDocument/2006/relationships" name="الفحوصات" sheetId="7" r:id="Ra761f7cbd32247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;[Red](#,##0);-"/>
    <x:numFmt numFmtId="202" formatCode="#,##0"/>
  </x:numFmts>
  <x:fonts count="10">
    <x:font>
      <x:sz val="11"/>
      <x:name val="Carlito"/>
    </x:font>
    <x:font>
      <x:b/>
      <x:sz val="18"/>
      <x:color rgb="FFFFFFFF"/>
      <x:name val="Arial"/>
    </x:font>
    <x:font>
      <x:sz val="10"/>
      <x:color rgb="FF475569"/>
      <x:name val="Arial"/>
    </x:font>
    <x:font>
      <x:b/>
      <x:sz val="10"/>
      <x:color rgb="FFFFFFFF"/>
      <x:name val="Arial"/>
    </x:font>
    <x:font>
      <x:sz val="9"/>
      <x:color rgb="FF0F172A"/>
      <x:name val="Arial"/>
    </x:font>
    <x:font>
      <x:b/>
      <x:sz val="11"/>
      <x:color rgb="FF123047"/>
      <x:name val="Arial"/>
    </x:font>
    <x:font>
      <x:b/>
      <x:sz val="11"/>
      <x:color rgb="FFFFFFFF"/>
      <x:name val="Arial"/>
    </x:font>
    <x:font>
      <x:sz val="11"/>
      <x:color rgb="FF78350F"/>
      <x:name val="Arial"/>
    </x:font>
    <x:font>
      <x:sz val="11"/>
      <x:name val="Arial"/>
    </x:font>
    <x:font>
      <x:b/>
      <x:sz val="11"/>
      <x:color rgb="FF78350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F1F5F9"/>
      </x:patternFill>
    </x:fill>
    <x:fill>
      <x:patternFill patternType="solid">
        <x:fgColor rgb="FF0F766E"/>
      </x:patternFill>
    </x:fill>
    <x:fill>
      <x:patternFill patternType="solid">
        <x:fgColor rgb="FFDBEAFE"/>
      </x:patternFill>
    </x:fill>
    <x:fill>
      <x:patternFill patternType="solid">
        <x:fgColor rgb="FFD97706"/>
      </x:patternFill>
    </x:fill>
    <x:fill>
      <x:patternFill patternType="solid">
        <x:fgColor rgb="FFFEF3C7"/>
      </x:patternFill>
    </x:fill>
  </x:fills>
  <x:borders count="21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left style="thin">
        <x:color rgb="FF2563EB"/>
      </x:left>
      <x:top style="thin">
        <x:color rgb="FF2563EB"/>
      </x:top>
    </x:border>
    <x:border>
      <x:right style="thin">
        <x:color rgb="FF2563EB"/>
      </x:right>
      <x:top style="thin">
        <x:color rgb="FF2563EB"/>
      </x:top>
    </x:border>
    <x:border>
      <x:left style="thin">
        <x:color rgb="FF2563EB"/>
      </x:left>
      <x:bottom style="thin">
        <x:color rgb="FF2563EB"/>
      </x:bottom>
    </x:border>
    <x:border>
      <x:right style="thin">
        <x:color rgb="FF2563EB"/>
      </x:right>
      <x:bottom style="thin">
        <x:color rgb="FF2563EB"/>
      </x:bottom>
    </x:border>
    <x:border>
      <x:left style="thin">
        <x:color rgb="FFD97706"/>
      </x:left>
      <x:top style="thin">
        <x:color rgb="FFD97706"/>
      </x:top>
    </x:border>
    <x:border>
      <x:top style="thin">
        <x:color rgb="FFD97706"/>
      </x:top>
    </x:border>
    <x:border>
      <x:right style="thin">
        <x:color rgb="FFD97706"/>
      </x:right>
      <x:top style="thin">
        <x:color rgb="FFD97706"/>
      </x:top>
    </x:border>
    <x:border>
      <x:left style="thin">
        <x:color rgb="FFD97706"/>
      </x:left>
    </x:border>
    <x:border>
      <x:right style="thin">
        <x:color rgb="FFD97706"/>
      </x:right>
    </x:border>
    <x:border>
      <x:left style="thin">
        <x:color rgb="FFD97706"/>
      </x:left>
      <x:bottom style="thin">
        <x:color rgb="FFD97706"/>
      </x:bottom>
    </x:border>
    <x:border>
      <x:bottom style="thin">
        <x:color rgb="FFD97706"/>
      </x:bottom>
    </x:border>
    <x:border>
      <x:right style="thin">
        <x:color rgb="FFD97706"/>
      </x:right>
      <x:bottom style="thin">
        <x:color rgb="FFD97706"/>
      </x:bottom>
    </x:border>
    <x:border>
      <x:top style="thin">
        <x:color rgb="FFCBD5E1"/>
      </x:top>
      <x:bottom style="thin">
        <x:color rgb="FFCBD5E1"/>
      </x:bottom>
    </x:border>
    <x:border>
      <x:left style="thin">
        <x:color rgb="FFD97706"/>
      </x:left>
      <x:top style="thin">
        <x:color rgb="FFD97706"/>
      </x:top>
      <x:bottom style="thin">
        <x:color rgb="FFD97706"/>
      </x:bottom>
    </x:border>
    <x:border>
      <x:top style="thin">
        <x:color rgb="FFD97706"/>
      </x:top>
      <x:bottom style="thin">
        <x:color rgb="FFD97706"/>
      </x:bottom>
    </x:border>
    <x:border>
      <x:right style="thin">
        <x:color rgb="FFD97706"/>
      </x:right>
      <x:top style="thin">
        <x:color rgb="FFD97706"/>
      </x:top>
      <x:bottom style="thin">
        <x:color rgb="FFD97706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right"/>
    </x:xf>
    <x:xf numFmtId="0" fontId="1" fillId="2" borderId="0" xfId="0" applyNumberFormat="1" applyFont="1" applyFill="1" applyBorder="1" applyAlignment="1">
      <x:alignment horizontal="righ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right" wrapText="1"/>
    </x:xf>
    <x:xf numFmtId="0" fontId="2" fillId="3" borderId="0" xfId="0" applyNumberFormat="1" applyFont="1" applyFill="1" applyBorder="1" applyAlignment="1">
      <x:alignment horizontal="righ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horizontal="right" wrapText="1"/>
    </x:xf>
    <x:xf numFmtId="0" fontId="4" fillId="0" borderId="4" xfId="0" applyNumberFormat="1" applyFont="1" applyFill="1" applyBorder="1" applyAlignment="1">
      <x:alignment horizontal="right" wrapText="1"/>
    </x:xf>
    <x:xf numFmtId="0" fontId="4" fillId="0" borderId="3" xfId="0" applyNumberFormat="1" applyFont="1" applyFill="1" applyBorder="1" applyAlignment="1">
      <x:alignment horizontal="right" vertical="center" wrapText="1"/>
    </x:xf>
    <x:xf numFmtId="0" fontId="4" fillId="0" borderId="4" xfId="0" applyNumberFormat="1" applyFont="1" applyFill="1" applyBorder="1" applyAlignment="1">
      <x:alignment horizontal="right" vertical="center" wrapText="1"/>
    </x:xf>
    <x:xf numFmtId="200" fontId="4" fillId="0" borderId="3" xfId="0" applyNumberFormat="1" applyFont="1" applyFill="1" applyBorder="1" applyAlignment="1">
      <x:alignment horizontal="right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201" fontId="4" fillId="0" borderId="3" xfId="0" applyNumberFormat="1" applyFont="1" applyFill="1" applyBorder="1" applyAlignment="1">
      <x:alignment horizontal="right" vertical="center" wrapText="1"/>
    </x:xf>
    <x:xf numFmtId="201" fontId="4" fillId="0" borderId="4" xfId="0" applyNumberFormat="1" applyFont="1" applyFill="1" applyBorder="1" applyAlignment="1">
      <x:alignment horizontal="right" vertical="center" wrapText="1"/>
    </x:xf>
    <x:xf numFmtId="202" fontId="4" fillId="0" borderId="4" xfId="0" applyNumberFormat="1" applyFont="1" applyFill="1" applyBorder="1" applyAlignment="1">
      <x:alignment horizontal="right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right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9" xfId="0" applyNumberFormat="1" applyFont="1" applyFill="1" applyBorder="1"/>
    <x:xf numFmtId="0" fontId="7" fillId="7" borderId="10" xfId="0" applyNumberFormat="1" applyFont="1" applyFill="1" applyBorder="1"/>
    <x:xf numFmtId="0" fontId="7" fillId="7" borderId="11" xfId="0" applyNumberFormat="1" applyFont="1" applyFill="1" applyBorder="1"/>
    <x:xf numFmtId="0" fontId="7" fillId="7" borderId="12" xfId="0" applyNumberFormat="1" applyFont="1" applyFill="1" applyBorder="1"/>
    <x:xf numFmtId="0" fontId="7" fillId="7" borderId="13" xfId="0" applyNumberFormat="1" applyFont="1" applyFill="1" applyBorder="1"/>
    <x:xf numFmtId="0" fontId="7" fillId="7" borderId="14" xfId="0" applyNumberFormat="1" applyFont="1" applyFill="1" applyBorder="1"/>
    <x:xf numFmtId="0" fontId="7" fillId="7" borderId="15" xfId="0" applyNumberFormat="1" applyFont="1" applyFill="1" applyBorder="1"/>
    <x:xf numFmtId="0" fontId="7" fillId="7" borderId="16" xfId="0" applyNumberFormat="1" applyFont="1" applyFill="1" applyBorder="1"/>
    <x:xf numFmtId="0" fontId="7" fillId="7" borderId="9" xfId="0" applyNumberFormat="1" applyFont="1" applyFill="1" applyBorder="1" applyAlignment="1">
      <x:alignment wrapText="1"/>
    </x:xf>
    <x:xf numFmtId="0" fontId="7" fillId="7" borderId="10" xfId="0" applyNumberFormat="1" applyFont="1" applyFill="1" applyBorder="1" applyAlignment="1">
      <x:alignment wrapText="1"/>
    </x:xf>
    <x:xf numFmtId="0" fontId="7" fillId="7" borderId="11" xfId="0" applyNumberFormat="1" applyFont="1" applyFill="1" applyBorder="1" applyAlignment="1">
      <x:alignment wrapText="1"/>
    </x:xf>
    <x:xf numFmtId="0" fontId="7" fillId="7" borderId="12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7" fillId="7" borderId="13" xfId="0" applyNumberFormat="1" applyFont="1" applyFill="1" applyBorder="1" applyAlignment="1">
      <x:alignment wrapText="1"/>
    </x:xf>
    <x:xf numFmtId="0" fontId="7" fillId="7" borderId="14" xfId="0" applyNumberFormat="1" applyFont="1" applyFill="1" applyBorder="1" applyAlignment="1">
      <x:alignment wrapText="1"/>
    </x:xf>
    <x:xf numFmtId="0" fontId="7" fillId="7" borderId="15" xfId="0" applyNumberFormat="1" applyFont="1" applyFill="1" applyBorder="1" applyAlignment="1">
      <x:alignment wrapText="1"/>
    </x:xf>
    <x:xf numFmtId="0" fontId="7" fillId="7" borderId="16" xfId="0" applyNumberFormat="1" applyFont="1" applyFill="1" applyBorder="1" applyAlignment="1">
      <x:alignment wrapText="1"/>
    </x:xf>
    <x:xf numFmtId="0" fontId="7" fillId="7" borderId="9" xfId="0" applyNumberFormat="1" applyFont="1" applyFill="1" applyBorder="1" applyAlignment="1">
      <x:alignment horizontal="right" wrapText="1"/>
    </x:xf>
    <x:xf numFmtId="0" fontId="7" fillId="7" borderId="10" xfId="0" applyNumberFormat="1" applyFont="1" applyFill="1" applyBorder="1" applyAlignment="1">
      <x:alignment horizontal="right" wrapText="1"/>
    </x:xf>
    <x:xf numFmtId="0" fontId="7" fillId="7" borderId="11" xfId="0" applyNumberFormat="1" applyFont="1" applyFill="1" applyBorder="1" applyAlignment="1">
      <x:alignment horizontal="right" wrapText="1"/>
    </x:xf>
    <x:xf numFmtId="0" fontId="7" fillId="7" borderId="12" xfId="0" applyNumberFormat="1" applyFont="1" applyFill="1" applyBorder="1" applyAlignment="1">
      <x:alignment horizontal="right" wrapText="1"/>
    </x:xf>
    <x:xf numFmtId="0" fontId="7" fillId="7" borderId="0" xfId="0" applyNumberFormat="1" applyFont="1" applyFill="1" applyBorder="1" applyAlignment="1">
      <x:alignment horizontal="right" wrapText="1"/>
    </x:xf>
    <x:xf numFmtId="0" fontId="7" fillId="7" borderId="13" xfId="0" applyNumberFormat="1" applyFont="1" applyFill="1" applyBorder="1" applyAlignment="1">
      <x:alignment horizontal="right" wrapText="1"/>
    </x:xf>
    <x:xf numFmtId="0" fontId="7" fillId="7" borderId="14" xfId="0" applyNumberFormat="1" applyFont="1" applyFill="1" applyBorder="1" applyAlignment="1">
      <x:alignment horizontal="right" wrapText="1"/>
    </x:xf>
    <x:xf numFmtId="0" fontId="7" fillId="7" borderId="15" xfId="0" applyNumberFormat="1" applyFont="1" applyFill="1" applyBorder="1" applyAlignment="1">
      <x:alignment horizontal="right" wrapText="1"/>
    </x:xf>
    <x:xf numFmtId="0" fontId="7" fillId="7" borderId="16" xfId="0" applyNumberFormat="1" applyFont="1" applyFill="1" applyBorder="1" applyAlignment="1">
      <x:alignment horizontal="right" wrapText="1"/>
    </x:xf>
    <x:xf numFmtId="0" fontId="7" fillId="7" borderId="9" xfId="0" applyNumberFormat="1" applyFont="1" applyFill="1" applyBorder="1" applyAlignment="1">
      <x:alignment horizontal="right" vertical="top" wrapText="1"/>
    </x:xf>
    <x:xf numFmtId="0" fontId="7" fillId="7" borderId="10" xfId="0" applyNumberFormat="1" applyFont="1" applyFill="1" applyBorder="1" applyAlignment="1">
      <x:alignment horizontal="right" vertical="top" wrapText="1"/>
    </x:xf>
    <x:xf numFmtId="0" fontId="7" fillId="7" borderId="11" xfId="0" applyNumberFormat="1" applyFont="1" applyFill="1" applyBorder="1" applyAlignment="1">
      <x:alignment horizontal="right" vertical="top" wrapText="1"/>
    </x:xf>
    <x:xf numFmtId="0" fontId="7" fillId="7" borderId="12" xfId="0" applyNumberFormat="1" applyFont="1" applyFill="1" applyBorder="1" applyAlignment="1">
      <x:alignment horizontal="right" vertical="top" wrapText="1"/>
    </x:xf>
    <x:xf numFmtId="0" fontId="7" fillId="7" borderId="0" xfId="0" applyNumberFormat="1" applyFont="1" applyFill="1" applyBorder="1" applyAlignment="1">
      <x:alignment horizontal="right" vertical="top" wrapText="1"/>
    </x:xf>
    <x:xf numFmtId="0" fontId="7" fillId="7" borderId="13" xfId="0" applyNumberFormat="1" applyFont="1" applyFill="1" applyBorder="1" applyAlignment="1">
      <x:alignment horizontal="right" vertical="top" wrapText="1"/>
    </x:xf>
    <x:xf numFmtId="0" fontId="7" fillId="7" borderId="14" xfId="0" applyNumberFormat="1" applyFont="1" applyFill="1" applyBorder="1" applyAlignment="1">
      <x:alignment horizontal="right" vertical="top" wrapText="1"/>
    </x:xf>
    <x:xf numFmtId="0" fontId="7" fillId="7" borderId="15" xfId="0" applyNumberFormat="1" applyFont="1" applyFill="1" applyBorder="1" applyAlignment="1">
      <x:alignment horizontal="right" vertical="top" wrapText="1"/>
    </x:xf>
    <x:xf numFmtId="0" fontId="7" fillId="7" borderId="16" xfId="0" applyNumberFormat="1" applyFont="1" applyFill="1" applyBorder="1" applyAlignment="1">
      <x:alignment horizontal="right" vertical="top" wrapText="1"/>
    </x:xf>
    <x:xf numFmtId="202" fontId="4" fillId="0" borderId="3" xfId="0" applyNumberFormat="1" applyFont="1" applyFill="1" applyBorder="1" applyAlignment="1">
      <x:alignment horizontal="right" vertical="center" wrapText="1"/>
    </x:xf>
    <x:xf numFmtId="0" fontId="8" fillId="0" borderId="0" xfId="0" applyNumberFormat="1" applyFont="1" applyFill="1" applyBorder="1"/>
    <x:xf numFmtId="0" fontId="3" fillId="4" borderId="17" xfId="0" applyNumberFormat="1" applyFont="1" applyFill="1" applyBorder="1"/>
    <x:xf numFmtId="0" fontId="3" fillId="4" borderId="17" xfId="0" applyNumberFormat="1" applyFont="1" applyFill="1" applyBorder="1" applyAlignment="1">
      <x:alignment wrapText="1"/>
    </x:xf>
    <x:xf numFmtId="0" fontId="3" fillId="4" borderId="17" xfId="0" applyNumberFormat="1" applyFont="1" applyFill="1" applyBorder="1" applyAlignment="1">
      <x:alignment horizontal="center" wrapText="1"/>
    </x:xf>
    <x:xf numFmtId="0" fontId="3" fillId="4" borderId="17" xfId="0" applyNumberFormat="1" applyFont="1" applyFill="1" applyBorder="1" applyAlignment="1">
      <x:alignment horizontal="center" vertical="center" wrapText="1"/>
    </x:xf>
    <x:xf numFmtId="200" fontId="4" fillId="0" borderId="4" xfId="0" applyNumberFormat="1" applyFont="1" applyFill="1" applyBorder="1" applyAlignment="1">
      <x:alignment horizontal="right" vertical="center" wrapText="1"/>
    </x:xf>
    <x:xf numFmtId="0" fontId="9" fillId="7" borderId="0" xfId="0" applyNumberFormat="1" applyFont="1" applyFill="1" applyBorder="1"/>
    <x:xf numFmtId="0" fontId="9" fillId="7" borderId="18" xfId="0" applyNumberFormat="1" applyFont="1" applyFill="1" applyBorder="1"/>
    <x:xf numFmtId="0" fontId="9" fillId="7" borderId="19" xfId="0" applyNumberFormat="1" applyFont="1" applyFill="1" applyBorder="1"/>
    <x:xf numFmtId="0" fontId="9" fillId="7" borderId="20" xfId="0" applyNumberFormat="1" applyFont="1" applyFill="1" applyBorder="1"/>
    <x:xf numFmtId="0" fontId="9" fillId="7" borderId="18" xfId="0" applyNumberFormat="1" applyFont="1" applyFill="1" applyBorder="1" applyAlignment="1">
      <x:alignment wrapText="1"/>
    </x:xf>
    <x:xf numFmtId="0" fontId="9" fillId="7" borderId="19" xfId="0" applyNumberFormat="1" applyFont="1" applyFill="1" applyBorder="1" applyAlignment="1">
      <x:alignment wrapText="1"/>
    </x:xf>
    <x:xf numFmtId="0" fontId="9" fillId="7" borderId="20" xfId="0" applyNumberFormat="1" applyFont="1" applyFill="1" applyBorder="1" applyAlignment="1">
      <x:alignment wrapText="1"/>
    </x:xf>
    <x:xf numFmtId="0" fontId="9" fillId="7" borderId="18" xfId="0" applyNumberFormat="1" applyFont="1" applyFill="1" applyBorder="1" applyAlignment="1">
      <x:alignment horizontal="right" wrapText="1"/>
    </x:xf>
    <x:xf numFmtId="0" fontId="9" fillId="7" borderId="19" xfId="0" applyNumberFormat="1" applyFont="1" applyFill="1" applyBorder="1" applyAlignment="1">
      <x:alignment horizontal="right" wrapText="1"/>
    </x:xf>
    <x:xf numFmtId="0" fontId="9" fillId="7" borderId="20" xfId="0" applyNumberFormat="1" applyFont="1" applyFill="1" applyBorder="1" applyAlignment="1">
      <x:alignment horizontal="right" wrapText="1"/>
    </x:xf>
  </x:cellXfs>
  <x:cellStyles count="1">
    <x:cellStyle name="Normal" xfId="0"/>
  </x:cellStyles>
  <x:dxfs count="14">
    <x:dxf>
      <x:font>
        <x:color rgb="FF15803D"/>
      </x:font>
      <x:fill>
        <x:patternFill patternType="solid">
          <x:bgColor rgb="FFDCFCE7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  <x:dxf>
      <x:font>
        <x:color rgb="FFD97706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D97706"/>
      </x:font>
      <x:fill>
        <x:patternFill patternType="solid">
          <x:bgColor rgb="FFFEF3C7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  <x:dxf>
      <x:font>
        <x:color rgb="FFD97706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color rgb="FFD97706"/>
      </x:font>
      <x:fill>
        <x:patternFill patternType="solid">
          <x:bgColor rgb="FFFEF3C7"/>
        </x:patternFill>
      </x:fill>
    </x:dxf>
    <x:dxf>
      <x:font>
        <x:color rgb="FF15803D"/>
      </x:font>
      <x:fill>
        <x:patternFill patternType="solid">
          <x:bgColor rgb="FFDCFCE7"/>
        </x:patternFill>
      </x:fill>
    </x:dxf>
    <x:dxf>
      <x:font>
        <x:color rgb="FFD97706"/>
      </x:font>
      <x:fill>
        <x:patternFill patternType="solid">
          <x:bgColor rgb="FFFEF3C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D97706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9cc075d3644c8f" /><Relationship Type="http://schemas.openxmlformats.org/officeDocument/2006/relationships/theme" Target="/xl/theme/theme1.xml" Id="R679c3c5560364c13" /><Relationship Type="http://schemas.openxmlformats.org/officeDocument/2006/relationships/sharedStrings" Target="/xl/sharedStrings.xml" Id="R9e9b4249e5e6469a" /><Relationship Type="http://schemas.openxmlformats.org/officeDocument/2006/relationships/worksheet" Target="/xl/worksheets/sheet1.xml" Id="Rb034c6ea16c24ad2" /><Relationship Type="http://schemas.openxmlformats.org/officeDocument/2006/relationships/worksheet" Target="/xl/worksheets/sheet2.xml" Id="R600d192417854082" /><Relationship Type="http://schemas.openxmlformats.org/officeDocument/2006/relationships/worksheet" Target="/xl/worksheets/sheet3.xml" Id="R7112cc85356240b9" /><Relationship Type="http://schemas.openxmlformats.org/officeDocument/2006/relationships/worksheet" Target="/xl/worksheets/sheet4.xml" Id="Rf5a8a8e710e340ce" /><Relationship Type="http://schemas.openxmlformats.org/officeDocument/2006/relationships/worksheet" Target="/xl/worksheets/sheet5.xml" Id="Rc4c38d2b5bb34909" /><Relationship Type="http://schemas.openxmlformats.org/officeDocument/2006/relationships/worksheet" Target="/xl/worksheets/sheet6.xml" Id="R918ae59b0bd34879" /><Relationship Type="http://schemas.openxmlformats.org/officeDocument/2006/relationships/worksheet" Target="/xl/worksheets/sheet7.xml" Id="Ra761f7cbd322476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c78a0665ee8416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توزيع حالات تسوية مستأجري أغسطس (عدد المركبات)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العدد</c:v>
          </c:tx>
          <c:cat>
            <c:strRef>
              <c:f>'الملخص'!$A$10:$A$15</c:f>
              <c:strCache>
                <c:ptCount val="0"/>
              </c:strCache>
            </c:strRef>
          </c:cat>
          <c:val>
            <c:numRef>
              <c:f>'الملخص'!$B$10:$B$15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22</xdr:row>
      <xdr:rowOff>0</xdr:rowOff>
    </xdr:from>
    <xdr:to>
      <xdr:col>10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78a0665ee8416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ugustReconciliationTable" displayName="AugustReconciliationTable" ref="A4:V93" headerRowCount="1" totalsRowCount="0" totalsRowShown="0">
  <x:tableColumns count="22">
    <x:tableColumn id="1" name="اللوحة"/>
    <x:tableColumn id="2" name="مستأجر أغسطس"/>
    <x:tableColumn id="3" name="الاسم النظامي في الملف"/>
    <x:tableColumn id="4" name="بداية العقد حسب الملف"/>
    <x:tableColumn id="5" name="القسط الشهري"/>
    <x:tableColumn id="6" name="التصنيف"/>
    <x:tableColumn id="7" name="العقود الحية على اللوحة"/>
    <x:tableColumn id="8" name="عملاء العقود الحية"/>
    <x:tableColumn id="9" name="حالات العقود"/>
    <x:tableColumn id="10" name="عقد العميل على مركبة أخرى"/>
    <x:tableColumn id="11" name="المستحق حتى أغسطس"/>
    <x:tableColumn id="12" name="الرصيد المستقبلي"/>
    <x:tableColumn id="13" name="المخالفات غير المسددة"/>
    <x:tableColumn id="14" name="قيمة قضية قائمة"/>
    <x:tableColumn id="15" name="ملف موقّع مطابق"/>
    <x:tableColumn id="16" name="المركبة مُعادة بالعقد المختار"/>
    <x:tableColumn id="17" name="الإجراء المقترح"/>
    <x:tableColumn id="18" name="الثقة"/>
    <x:tableColumn id="19" name="قرار الإدارة"/>
    <x:tableColumn id="20" name="ملاحظات المصدر"/>
    <x:tableColumn id="21" name="الهاتف"/>
    <x:tableColumn id="22" name="مطابقة العميل بالنظام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nancialConflictTable" displayName="FinancialConflictTable" ref="A4:Z42" headerRowCount="1" totalsRowCount="0" totalsRowShown="0">
  <x:tableColumns count="26">
    <x:tableColumn id="1" name="اللوحة"/>
    <x:tableColumn id="2" name="مستأجر أغسطس"/>
    <x:tableColumn id="3" name="بداية العقد الجديد"/>
    <x:tableColumn id="4" name="رقم العقد"/>
    <x:tableColumn id="5" name="عميل العقد"/>
    <x:tableColumn id="6" name="الحالة"/>
    <x:tableColumn id="7" name="المركبة مُعادة؟"/>
    <x:tableColumn id="8" name="مطابق للمستأجر؟"/>
    <x:tableColumn id="9" name="بداية العقد"/>
    <x:tableColumn id="10" name="نهاية العقد"/>
    <x:tableColumn id="11" name="القسط"/>
    <x:tableColumn id="12" name="رصيد العقد المخزن"/>
    <x:tableColumn id="13" name="المستحق حتى أغسطس"/>
    <x:tableColumn id="14" name="المستحق قبل بداية الجديد"/>
    <x:tableColumn id="15" name="الرصيد المستقبلي بعد أغسطس"/>
    <x:tableColumn id="16" name="مخالفات غير مسددة"/>
    <x:tableColumn id="17" name="مخالفات قبل بداية الجديد"/>
    <x:tableColumn id="18" name="أساس الإيجار المقترح"/>
    <x:tableColumn id="19" name="أساس المخالفات المقترح"/>
    <x:tableColumn id="20" name="مطالبة مبدئية"/>
    <x:tableColumn id="21" name="قيمة القضية القائمة"/>
    <x:tableColumn id="22" name="فرق التضخيم"/>
    <x:tableColumn id="23" name="ملف موقع"/>
    <x:tableColumn id="24" name="فجوة فوترة"/>
    <x:tableColumn id="25" name="الإجراء"/>
    <x:tableColumn id="26" name="ملاحظات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CustomerNameControlTable" displayName="CustomerNameControlTable" ref="A4:J93" headerRowCount="1" totalsRowCount="0" totalsRowShown="0">
  <x:tableColumns count="10">
    <x:tableColumn id="1" name="اللوحة"/>
    <x:tableColumn id="2" name="اسم ملف أغسطس"/>
    <x:tableColumn id="3" name="الاسم النظامي في الملف"/>
    <x:tableColumn id="4" name="الاسم/الأسماء المطابقة بالنظام"/>
    <x:tableColumn id="5" name="الهاتف في أغسطس"/>
    <x:tableColumn id="6" name="هاتف النظام"/>
    <x:tableColumn id="7" name="الرقم الشخصي/الجواز"/>
    <x:tableColumn id="8" name="عدد سجلات العملاء"/>
    <x:tableColumn id="9" name="نتيجة المطابقة"/>
    <x:tableColumn id="10" name="ملاحظة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egalClaimComponentAuditTable" displayName="LegalClaimComponentAuditTable" ref="A4:J33" headerRowCount="1" totalsRowCount="0" totalsRowShown="0">
  <x:tableColumns count="10">
    <x:tableColumn id="1" name="رقم العقد"/>
    <x:tableColumn id="2" name="اللوحة"/>
    <x:tableColumn id="3" name="العميل"/>
    <x:tableColumn id="4" name="إجمالي المطالبة قبل التصحيح"/>
    <x:tableColumn id="5" name="فواتير الإيجار المستحقة"/>
    <x:tableColumn id="6" name="فواتير مخالفات داخلة ضمن المستحق"/>
    <x:tableColumn id="7" name="المخالفات المضافة مستقلاً"/>
    <x:tableColumn id="8" name="الإجمالي بعد منع التكرار"/>
    <x:tableColumn id="9" name="نتيجة التدقيق"/>
    <x:tableColumn id="10" name="الإجراء النظامي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76f421d1999498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9239f6fc7444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806ba7f8924c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e092f757dd47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ca7472d1ccc40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3" hidden="0" customWidth="1"/>
    <x:col min="4" max="4" width="31" hidden="0" customWidth="1"/>
    <x:col min="5" max="5" width="18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34" customHeight="1">
      <x:c r="A1" s="4" t="str">
        <x:v>تسوية عقود ودفعات أغسطس 2026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9" t="str">
        <x:v>تقرير مراجعة قبل التنفيذ — ملف أغسطس مرجع للحيازة التشغيلية، والفواتير والدفعات والمخالفات مرجع للمطالبة المالية.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34" customHeight="1">
      <x:c r="A4" s="18" t="str">
        <x:v>البند</x:v>
      </x:c>
      <x:c r="B4" s="19" t="str">
        <x:v>القيمة</x:v>
      </x:c>
      <x:c r="C4" s="80"/>
      <x:c r="D4" s="18" t="str">
        <x:v>مؤشر مالي</x:v>
      </x:c>
      <x:c r="E4" s="19" t="str">
        <x:v>القيمة (ر.ق)</x:v>
      </x:c>
      <x:c r="F4" s="80"/>
      <x:c r="G4" s="80"/>
      <x:c r="H4" s="80"/>
      <x:c r="I4" s="80"/>
      <x:c r="J4" s="80"/>
    </x:row>
    <x:row r="5">
      <x:c r="A5" s="27" t="str">
        <x:v>تاريخ التقرير</x:v>
      </x:c>
      <x:c r="B5" s="29" t="n">
        <x:v>46265</x:v>
      </x:c>
      <x:c r="C5" s="80"/>
      <x:c r="D5" s="27" t="str">
        <x:v>المطالبة المبدئية للحالات المعروضة</x:v>
      </x:c>
      <x:c r="E5" s="36" t="n">
        <x:f>SUM('التعارضات المالية'!$T$5:$T$42)</x:f>
        <x:v>539335</x:v>
      </x:c>
      <x:c r="F5" s="80"/>
      <x:c r="G5" s="80"/>
      <x:c r="H5" s="80"/>
      <x:c r="I5" s="80"/>
      <x:c r="J5" s="80"/>
    </x:row>
    <x:row r="6">
      <x:c r="A6" s="28" t="str">
        <x:v>ملف الحيازة الأحدث</x:v>
      </x:c>
      <x:c r="B6" s="28" t="str">
        <x:v>دفعات-شهر-8-أغسطس-2026.xlsx</x:v>
      </x:c>
      <x:c r="C6" s="80"/>
      <x:c r="D6" s="28" t="str">
        <x:v>قيمة القضايا القائمة</x:v>
      </x:c>
      <x:c r="E6" s="37" t="n">
        <x:f>SUM('التعارضات المالية'!$U$5:$U$42)</x:f>
        <x:v>867934.5</x:v>
      </x:c>
      <x:c r="F6" s="80"/>
      <x:c r="G6" s="80"/>
      <x:c r="H6" s="80"/>
      <x:c r="I6" s="80"/>
      <x:c r="J6" s="80"/>
    </x:row>
    <x:row r="7">
      <x:c r="A7" s="28" t="str">
        <x:v>حالة قاعدة القطع</x:v>
      </x:c>
      <x:c r="B7" s="28" t="str">
        <x:v>مقترحة وتحتاج اعتماد الإدارة قبل تنفيذ التعديلات</x:v>
      </x:c>
      <x:c r="C7" s="80"/>
      <x:c r="D7" s="28" t="str">
        <x:v>فرق التضخيم المحتمل</x:v>
      </x:c>
      <x:c r="E7" s="37" t="n">
        <x:f>SUM('التعارضات المالية'!$V$5:$V$42)</x:f>
        <x:v>440944.5</x:v>
      </x:c>
      <x:c r="F7" s="80"/>
      <x:c r="G7" s="80"/>
      <x:c r="H7" s="80"/>
      <x:c r="I7" s="80"/>
      <x:c r="J7" s="80"/>
    </x:row>
    <x:row r="8">
      <x:c r="A8" s="80"/>
      <x:c r="B8" s="80"/>
      <x:c r="C8" s="80"/>
      <x:c r="D8" s="28" t="str">
        <x:v>الرصيد المستقبلي المفصول</x:v>
      </x:c>
      <x:c r="E8" s="37" t="n">
        <x:f>SUM('التعارضات المالية'!$O$5:$O$42)</x:f>
        <x:v>574050</x:v>
      </x:c>
      <x:c r="F8" s="80"/>
      <x:c r="G8" s="80"/>
      <x:c r="H8" s="80"/>
      <x:c r="I8" s="80"/>
      <x:c r="J8" s="80"/>
    </x:row>
    <x:row r="9" ht="34" customHeight="1">
      <x:c r="A9" s="18" t="str">
        <x:v>تصنيف التسوية</x:v>
      </x:c>
      <x:c r="B9" s="19" t="str">
        <x:v>العدد</x:v>
      </x:c>
      <x:c r="C9" s="80"/>
      <x:c r="D9" s="28" t="str">
        <x:v>حالات فجوة الفوترة</x:v>
      </x:c>
      <x:c r="E9" s="38" t="n">
        <x:f>COUNTIF('التعارضات المالية'!$X$5:$X$42,"نعم")</x:f>
        <x:v>1</x:v>
      </x:c>
      <x:c r="F9" s="80"/>
      <x:c r="G9" s="80"/>
      <x:c r="H9" s="80"/>
      <x:c r="I9" s="80"/>
      <x:c r="J9" s="80"/>
    </x:row>
    <x:row r="10">
      <x:c r="A10" s="27" t="str">
        <x:v>مطابق</x:v>
      </x:c>
      <x:c r="B10" s="27" t="n">
        <x:f>COUNTIF('تسوية الـ89'!$F$5:$F$93,A10)</x:f>
        <x:v>44</x:v>
      </x:c>
      <x:c r="C10" s="80"/>
      <x:c r="D10" s="80"/>
      <x:c r="E10" s="80"/>
      <x:c r="F10" s="80"/>
      <x:c r="G10" s="80"/>
      <x:c r="H10" s="80"/>
      <x:c r="I10" s="80"/>
      <x:c r="J10" s="80"/>
    </x:row>
    <x:row r="11">
      <x:c r="A11" s="28" t="str">
        <x:v>مطابق مع تعارض موازٍ</x:v>
      </x:c>
      <x:c r="B11" s="28" t="n">
        <x:f>COUNTIF('تسوية الـ89'!$F$5:$F$93,A11)</x:f>
        <x:v>6</x:v>
      </x:c>
      <x:c r="C11" s="80"/>
      <x:c r="D11" s="41" t="str">
        <x:v>قاعدة العمل المقترحة</x:v>
      </x:c>
      <x:c r="E11" s="41" t="str"/>
      <x:c r="F11" s="41" t="str"/>
      <x:c r="G11" s="41" t="str"/>
      <x:c r="H11" s="41" t="str"/>
      <x:c r="I11" s="41" t="str"/>
      <x:c r="J11" s="41" t="str"/>
    </x:row>
    <x:row r="12">
      <x:c r="A12" s="28" t="str">
        <x:v>عقد باسم عميل آخر</x:v>
      </x:c>
      <x:c r="B12" s="28" t="n">
        <x:f>COUNTIF('تسوية الـ89'!$F$5:$F$93,A12)</x:f>
        <x:v>10</x:v>
      </x:c>
      <x:c r="C12" s="80"/>
      <x:c r="D12" s="70" t="str">
        <x:v>يصبح إلغاء/إنهاء عهدة العقد السابق نافذاً عند بداية العقد الجديد، وتتوقف فوترة القديم قبل هذا التاريخ. المطالبة المبدئية = الإيجار المستحق حتى القطع + المخالفات المثبتة خلال العهدة فقط، مع استبعاد الأقساط المستقبلية. لا تُنفذ القاعدة قبل اعتماد الإدارة ومراجعة الأدلة.</x:v>
      </x:c>
      <x:c r="E12" s="71" t="str"/>
      <x:c r="F12" s="71" t="str"/>
      <x:c r="G12" s="71" t="str"/>
      <x:c r="H12" s="71" t="str"/>
      <x:c r="I12" s="71" t="str"/>
      <x:c r="J12" s="72" t="str"/>
    </x:row>
    <x:row r="13">
      <x:c r="A13" s="28" t="str">
        <x:v>عقد العميل على مركبة أخرى</x:v>
      </x:c>
      <x:c r="B13" s="28" t="n">
        <x:f>COUNTIF('تسوية الـ89'!$F$5:$F$93,A13)</x:f>
        <x:v>4</x:v>
      </x:c>
      <x:c r="C13" s="80"/>
      <x:c r="D13" s="73" t="str"/>
      <x:c r="E13" s="74" t="str"/>
      <x:c r="F13" s="74" t="str"/>
      <x:c r="G13" s="74" t="str"/>
      <x:c r="H13" s="74" t="str"/>
      <x:c r="I13" s="74" t="str"/>
      <x:c r="J13" s="75" t="str"/>
    </x:row>
    <x:row r="14">
      <x:c r="A14" s="28" t="str">
        <x:v>لا يوجد عقد حي</x:v>
      </x:c>
      <x:c r="B14" s="28" t="n">
        <x:f>COUNTIF('تسوية الـ89'!$F$5:$F$93,A14)</x:f>
        <x:v>20</x:v>
      </x:c>
      <x:c r="C14" s="80"/>
      <x:c r="D14" s="73" t="str"/>
      <x:c r="E14" s="74" t="str"/>
      <x:c r="F14" s="74" t="str"/>
      <x:c r="G14" s="74" t="str"/>
      <x:c r="H14" s="74" t="str"/>
      <x:c r="I14" s="74" t="str"/>
      <x:c r="J14" s="75" t="str"/>
    </x:row>
    <x:row r="15">
      <x:c r="A15" s="28" t="str">
        <x:v>قرار إداري أحدث</x:v>
      </x:c>
      <x:c r="B15" s="28" t="n">
        <x:f>COUNTIF('تسوية الـ89'!$F$5:$F$93,A15)</x:f>
        <x:v>5</x:v>
      </x:c>
      <x:c r="C15" s="80"/>
      <x:c r="D15" s="76" t="str"/>
      <x:c r="E15" s="77" t="str"/>
      <x:c r="F15" s="77" t="str"/>
      <x:c r="G15" s="77" t="str"/>
      <x:c r="H15" s="77" t="str"/>
      <x:c r="I15" s="77" t="str"/>
      <x:c r="J15" s="78" t="str"/>
    </x:row>
    <x:row r="16">
      <x:c r="A16" s="80"/>
      <x:c r="B16" s="80"/>
      <x:c r="C16" s="80"/>
      <x:c r="D16" s="80"/>
      <x:c r="E16" s="80"/>
      <x:c r="F16" s="80"/>
      <x:c r="G16" s="80"/>
      <x:c r="H16" s="80"/>
      <x:c r="I16" s="80"/>
      <x:c r="J16" s="80"/>
    </x:row>
    <x:row r="17" ht="34" customHeight="1">
      <x:c r="A17" s="32" t="str">
        <x:v>إجمالي صفوف أغسطس</x:v>
      </x:c>
      <x:c r="B17" s="33" t="n">
        <x:f>SUM(B10:B15)</x:f>
        <x:v>89</x:v>
      </x:c>
      <x:c r="C17" s="80"/>
      <x:c r="D17" s="18" t="str">
        <x:v>تدقيق المطالبات القانونية</x:v>
      </x:c>
      <x:c r="E17" s="19" t="str">
        <x:v>القيمة</x:v>
      </x:c>
      <x:c r="F17" s="80"/>
      <x:c r="G17" s="80"/>
      <x:c r="H17" s="80"/>
      <x:c r="I17" s="80"/>
      <x:c r="J17" s="80"/>
    </x:row>
    <x:row r="18">
      <x:c r="A18" s="34" t="str">
        <x:v>فحص الاتزان</x:v>
      </x:c>
      <x:c r="B18" s="35" t="str">
        <x:f>IF(B17=89,"متزن","غير متزن")</x:f>
        <x:v>متزن</x:v>
      </x:c>
      <x:c r="C18" s="80"/>
      <x:c r="D18" s="27" t="str">
        <x:v>قضايا بها تكرار مؤكد</x:v>
      </x:c>
      <x:c r="E18" s="79" t="n">
        <x:f>COUNTIF('تدقيق المطالبات القانونية'!$I$5:$I$33,"تضخيم مؤكد")</x:f>
        <x:v>16</x:v>
      </x:c>
      <x:c r="F18" s="80"/>
      <x:c r="G18" s="80"/>
      <x:c r="H18" s="80"/>
      <x:c r="I18" s="80"/>
      <x:c r="J18" s="80"/>
    </x:row>
    <x:row r="19">
      <x:c r="D19" s="28" t="str">
        <x:v>مبلغ مكرر مستبعد (ر.ق)</x:v>
      </x:c>
      <x:c r="E19" s="37" t="n">
        <x:f>SUMIF('تدقيق المطالبات القانونية'!$I$5:$I$33,"تضخيم مؤكد",'تدقيق المطالبات القانونية'!$F$5:$F$33)</x:f>
        <x:v>117815</x:v>
      </x:c>
    </x:row>
    <x:row r="20">
      <x:c r="D20" s="28" t="str">
        <x:v>الإجمالي المصحح لهذه القضايا (ر.ق)</x:v>
      </x:c>
      <x:c r="E20" s="37" t="n">
        <x:f>SUMIF('تدقيق المطالبات القانونية'!$I$5:$I$33,"تضخيم مؤكد",'تدقيق المطالبات القانونية'!$H$5:$H$33)</x:f>
        <x:v>422443</x:v>
      </x:c>
    </x:row>
  </x:sheetData>
  <x:mergeCells>
    <x:mergeCell ref="A1:J1"/>
    <x:mergeCell ref="A2:J2"/>
    <x:mergeCell ref="D11:J11"/>
    <x:mergeCell ref="D12:J15"/>
  </x:mergeCells>
  <x:pageMargins left="0.7" right="0.7" top="0.75" bottom="0.75" header="0.3" footer="0.3"/>
  <x:drawing xmlns:r="http://schemas.openxmlformats.org/officeDocument/2006/relationships" r:id="R476f421d1999498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14" hidden="0" customWidth="1"/>
    <x:col min="5" max="5" width="13" hidden="0" customWidth="1"/>
    <x:col min="6" max="6" width="24" hidden="0" customWidth="1"/>
    <x:col min="7" max="7" width="28" hidden="0" customWidth="1"/>
    <x:col min="8" max="8" width="30" hidden="0" customWidth="1"/>
    <x:col min="9" max="9" width="20" hidden="0" customWidth="1"/>
    <x:col min="10" max="10" width="32" hidden="0" customWidth="1"/>
    <x:col min="11" max="11" width="15" hidden="0" customWidth="1"/>
    <x:col min="12" max="12" width="15" hidden="0" customWidth="1"/>
    <x:col min="13" max="13" width="16" hidden="0" customWidth="1"/>
    <x:col min="14" max="14" width="15" hidden="0" customWidth="1"/>
    <x:col min="15" max="15" width="14" hidden="0" customWidth="1"/>
    <x:col min="16" max="16" width="17" hidden="0" customWidth="1"/>
    <x:col min="17" max="17" width="52" hidden="0" customWidth="1"/>
    <x:col min="18" max="18" width="18" hidden="0" customWidth="1"/>
    <x:col min="19" max="19" width="15" hidden="0" customWidth="1"/>
    <x:col min="20" max="20" width="35" hidden="0" customWidth="1"/>
    <x:col min="21" max="21" width="15" hidden="0" customWidth="1"/>
    <x:col min="22" max="22" width="18" hidden="0" customWidth="1"/>
  </x:cols>
  <x:sheetData>
    <x:row r="1" ht="34" customHeight="1">
      <x:c r="A1" s="4" t="str">
        <x:v>تسوية مستأجري أغسطس — 89 مركبة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</x:row>
    <x:row r="2" ht="32" customHeight="1">
      <x:c r="A2" s="9" t="str">
        <x:v>قرار الإدارة في العمود S قابل للتعبئة. التصنيف والإجراء مبنيان على بيانات الإنتاج بتاريخ 2026-08-31 ولا ينفذان أي تغيير.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</x:row>
    <x:row r="4" ht="34" customHeight="1">
      <x:c r="A4" s="18" t="str">
        <x:v>اللوحة</x:v>
      </x:c>
      <x:c r="B4" s="84" t="str">
        <x:v>مستأجر أغسطس</x:v>
      </x:c>
      <x:c r="C4" s="84" t="str">
        <x:v>الاسم النظامي في الملف</x:v>
      </x:c>
      <x:c r="D4" s="84" t="str">
        <x:v>بداية العقد حسب الملف</x:v>
      </x:c>
      <x:c r="E4" s="84" t="str">
        <x:v>القسط الشهري</x:v>
      </x:c>
      <x:c r="F4" s="84" t="str">
        <x:v>التصنيف</x:v>
      </x:c>
      <x:c r="G4" s="84" t="str">
        <x:v>العقود الحية على اللوحة</x:v>
      </x:c>
      <x:c r="H4" s="84" t="str">
        <x:v>عملاء العقود الحية</x:v>
      </x:c>
      <x:c r="I4" s="84" t="str">
        <x:v>حالات العقود</x:v>
      </x:c>
      <x:c r="J4" s="84" t="str">
        <x:v>عقد العميل على مركبة أخرى</x:v>
      </x:c>
      <x:c r="K4" s="84" t="str">
        <x:v>المستحق حتى أغسطس</x:v>
      </x:c>
      <x:c r="L4" s="84" t="str">
        <x:v>الرصيد المستقبلي</x:v>
      </x:c>
      <x:c r="M4" s="84" t="str">
        <x:v>المخالفات غير المسددة</x:v>
      </x:c>
      <x:c r="N4" s="84" t="str">
        <x:v>قيمة قضية قائمة</x:v>
      </x:c>
      <x:c r="O4" s="84" t="str">
        <x:v>ملف موقّع مطابق</x:v>
      </x:c>
      <x:c r="P4" s="84" t="str">
        <x:v>المركبة مُعادة بالعقد المختار</x:v>
      </x:c>
      <x:c r="Q4" s="84" t="str">
        <x:v>الإجراء المقترح</x:v>
      </x:c>
      <x:c r="R4" s="84" t="str">
        <x:v>الثقة</x:v>
      </x:c>
      <x:c r="S4" s="84" t="str">
        <x:v>قرار الإدارة</x:v>
      </x:c>
      <x:c r="T4" s="84" t="str">
        <x:v>ملاحظات المصدر</x:v>
      </x:c>
      <x:c r="U4" s="84" t="str">
        <x:v>الهاتف</x:v>
      </x:c>
      <x:c r="V4" s="19" t="str">
        <x:v>مطابقة العميل بالنظام</x:v>
      </x:c>
    </x:row>
    <x:row r="5" ht="38" customHeight="1">
      <x:c r="A5" s="27" t="str">
        <x:v>21860</x:v>
      </x:c>
      <x:c r="B5" s="27" t="str">
        <x:v>محمد ضياء العويني</x:v>
      </x:c>
      <x:c r="C5" s="27" t="str">
        <x:v>محمد ضياء العويني</x:v>
      </x:c>
      <x:c r="D5" s="29" t="n">
        <x:v>45704</x:v>
      </x:c>
      <x:c r="E5" s="79" t="n">
        <x:v>1700</x:v>
      </x:c>
      <x:c r="F5" s="27" t="str">
        <x:v>عقد العميل على مركبة أخرى</x:v>
      </x:c>
      <x:c r="G5" s="27" t="str"/>
      <x:c r="H5" s="27" t="str"/>
      <x:c r="I5" s="27" t="str"/>
      <x:c r="J5" s="27" t="str">
        <x:v>C-ALF-0069 / 725473 / ساري</x:v>
      </x:c>
      <x:c r="K5" s="36" t="n">
        <x:v>0</x:v>
      </x:c>
      <x:c r="L5" s="36" t="n">
        <x:v>0</x:v>
      </x:c>
      <x:c r="M5" s="36" t="n">
        <x:v>0</x:v>
      </x:c>
      <x:c r="N5" s="36" t="n">
        <x:v>0</x:v>
      </x:c>
      <x:c r="O5" s="27" t="str">
        <x:v>لا</x:v>
      </x:c>
      <x:c r="P5" s="27" t="str"/>
      <x:c r="Q5" s="27" t="str">
        <x:v>مراجعة اللوحتين والملف الموقّع؛ فصل الحيازة الخاطئة ثم إنشاء/ربط العقد على لوحة أغسطس دون حذف المطالبة القديمة.</x:v>
      </x:c>
      <x:c r="R5" s="27" t="str">
        <x:v>يحتاج اعتماد</x:v>
      </x:c>
      <x:c r="S5" s="27" t="str"/>
      <x:c r="T5" s="27" t="str"/>
      <x:c r="U5" s="27" t="str">
        <x:v>66816813</x:v>
      </x:c>
      <x:c r="V5" s="27" t="str">
        <x:v>عميل واحد</x:v>
      </x:c>
    </x:row>
    <x:row r="6" ht="38" customHeight="1">
      <x:c r="A6" s="28" t="str">
        <x:v>648144</x:v>
      </x:c>
      <x:c r="B6" s="28" t="str">
        <x:v>سفيان المختار الصالح</x:v>
      </x:c>
      <x:c r="C6" s="28" t="str">
        <x:v>سفيان المختار الصالح</x:v>
      </x:c>
      <x:c r="D6" s="85" t="n">
        <x:v>46144</x:v>
      </x:c>
      <x:c r="E6" s="38" t="n">
        <x:v>1500</x:v>
      </x:c>
      <x:c r="F6" s="28" t="str">
        <x:v>لا يوجد عقد حي</x:v>
      </x:c>
      <x:c r="G6" s="28" t="str"/>
      <x:c r="H6" s="28" t="str"/>
      <x:c r="I6" s="28" t="str"/>
      <x:c r="J6" s="28" t="str"/>
      <x:c r="K6" s="37" t="n">
        <x:v>0</x:v>
      </x:c>
      <x:c r="L6" s="37" t="n">
        <x:v>0</x:v>
      </x:c>
      <x:c r="M6" s="37" t="n">
        <x:v>0</x:v>
      </x:c>
      <x:c r="N6" s="37" t="n">
        <x:v>0</x:v>
      </x:c>
      <x:c r="O6" s="28" t="str">
        <x:v>لا</x:v>
      </x:c>
      <x:c r="P6" s="28" t="str"/>
      <x:c r="Q6" s="28" t="str">
        <x:v>استكمال هوية وملف موقّع وتاريخ التسليم، ثم إنشاء عقد جديد؛ لا يُنشأ عقد قانوني أو مطالبة آليًا من الاسم وحده.</x:v>
      </x:c>
      <x:c r="R6" s="28" t="str">
        <x:v>يحتاج اعتماد</x:v>
      </x:c>
      <x:c r="S6" s="28" t="str"/>
      <x:c r="T6" s="28" t="str">
        <x:v>لا يوجد نهاية في ملف الورد</x:v>
      </x:c>
      <x:c r="U6" s="28" t="str"/>
      <x:c r="V6" s="28" t="str">
        <x:v>غير موجود</x:v>
      </x:c>
    </x:row>
    <x:row r="7" ht="38" customHeight="1">
      <x:c r="A7" s="28" t="str">
        <x:v>676281</x:v>
      </x:c>
      <x:c r="B7" s="28" t="str">
        <x:v>حمزة بادو</x:v>
      </x:c>
      <x:c r="C7" s="28" t="str">
        <x:v>حمزة بادو</x:v>
      </x:c>
      <x:c r="D7" s="85" t="n">
        <x:v>44927</x:v>
      </x:c>
      <x:c r="E7" s="38" t="n">
        <x:v>1050</x:v>
      </x:c>
      <x:c r="F7" s="28" t="str">
        <x:v>لا يوجد عقد حي</x:v>
      </x:c>
      <x:c r="G7" s="28" t="str"/>
      <x:c r="H7" s="28" t="str"/>
      <x:c r="I7" s="28" t="str"/>
      <x:c r="J7" s="28" t="str"/>
      <x:c r="K7" s="37" t="n">
        <x:v>0</x:v>
      </x:c>
      <x:c r="L7" s="37" t="n">
        <x:v>0</x:v>
      </x:c>
      <x:c r="M7" s="37" t="n">
        <x:v>0</x:v>
      </x:c>
      <x:c r="N7" s="37" t="n">
        <x:v>0</x:v>
      </x:c>
      <x:c r="O7" s="28" t="str">
        <x:v>لا</x:v>
      </x:c>
      <x:c r="P7" s="28" t="str"/>
      <x:c r="Q7" s="28" t="str">
        <x:v>استكمال هوية وملف موقّع وتاريخ التسليم، ثم إنشاء عقد جديد؛ لا يُنشأ عقد قانوني أو مطالبة آليًا من الاسم وحده.</x:v>
      </x:c>
      <x:c r="R7" s="28" t="str">
        <x:v>يحتاج اعتماد</x:v>
      </x:c>
      <x:c r="S7" s="28" t="str"/>
      <x:c r="T7" s="28" t="str"/>
      <x:c r="U7" s="28" t="str"/>
      <x:c r="V7" s="28" t="str">
        <x:v>عميل واحد</x:v>
      </x:c>
    </x:row>
    <x:row r="8" ht="38" customHeight="1">
      <x:c r="A8" s="28" t="str">
        <x:v>692801</x:v>
      </x:c>
      <x:c r="B8" s="28" t="str">
        <x:v>زكرياء بن احمد</x:v>
      </x:c>
      <x:c r="C8" s="28" t="str">
        <x:v>زكرياء بن احمد</x:v>
      </x:c>
      <x:c r="D8" s="85" t="n">
        <x:v>46058</x:v>
      </x:c>
      <x:c r="E8" s="38" t="n">
        <x:v>1000</x:v>
      </x:c>
      <x:c r="F8" s="28" t="str">
        <x:v>مطابق</x:v>
      </x:c>
      <x:c r="G8" s="28" t="str">
        <x:v>CON-25-5FEMJQ</x:v>
      </x:c>
      <x:c r="H8" s="28" t="str">
        <x:v>زكرياء بن احمد</x:v>
      </x:c>
      <x:c r="I8" s="28" t="str">
        <x:v>ساري</x:v>
      </x:c>
      <x:c r="J8" s="28" t="str"/>
      <x:c r="K8" s="37" t="n">
        <x:v>2353</x:v>
      </x:c>
      <x:c r="L8" s="37" t="n">
        <x:v>24000</x:v>
      </x:c>
      <x:c r="M8" s="37" t="n">
        <x:v>500</x:v>
      </x:c>
      <x:c r="N8" s="37" t="n">
        <x:v>0</x:v>
      </x:c>
      <x:c r="O8" s="28" t="str">
        <x:v>لا</x:v>
      </x:c>
      <x:c r="P8" s="28" t="str">
        <x:v>لا</x:v>
      </x:c>
      <x:c r="Q8" s="28" t="str">
        <x:v>إبقاء العقد ساريًا؛ لا تعديل على الهوية أو المركبة.</x:v>
      </x:c>
      <x:c r="R8" s="28" t="str">
        <x:v>متوسط</x:v>
      </x:c>
      <x:c r="S8" s="28" t="str"/>
      <x:c r="T8" s="28" t="str">
        <x:v>1000</x:v>
      </x:c>
      <x:c r="U8" s="28" t="str"/>
      <x:c r="V8" s="28" t="str">
        <x:v>عميل واحد</x:v>
      </x:c>
    </x:row>
    <x:row r="9" ht="38" customHeight="1">
      <x:c r="A9" s="28" t="str">
        <x:v>706150</x:v>
      </x:c>
      <x:c r="B9" s="28" t="str">
        <x:v>ألياس يعقوبي</x:v>
      </x:c>
      <x:c r="C9" s="28" t="str">
        <x:v>ألياس يعقوبي</x:v>
      </x:c>
      <x:c r="D9" s="85" t="n">
        <x:v>46082</x:v>
      </x:c>
      <x:c r="E9" s="38" t="n">
        <x:v>1600</x:v>
      </x:c>
      <x:c r="F9" s="28" t="str">
        <x:v>عقد باسم عميل آخر</x:v>
      </x:c>
      <x:c r="G9" s="28" t="str">
        <x:v>C-ALF-0058</x:v>
      </x:c>
      <x:c r="H9" s="28" t="str">
        <x:v>مروان باكير</x:v>
      </x:c>
      <x:c r="I9" s="28" t="str">
        <x:v>إجراء قانوني</x:v>
      </x:c>
      <x:c r="J9" s="28" t="str"/>
      <x:c r="K9" s="37" t="n">
        <x:v>16000</x:v>
      </x:c>
      <x:c r="L9" s="37" t="n">
        <x:v>6400</x:v>
      </x:c>
      <x:c r="M9" s="37" t="n">
        <x:v>2000</x:v>
      </x:c>
      <x:c r="N9" s="37" t="n">
        <x:v>58000</x:v>
      </x:c>
      <x:c r="O9" s="28" t="str">
        <x:v>نعم</x:v>
      </x:c>
      <x:c r="P9" s="28" t="str">
        <x:v>لا</x:v>
      </x:c>
      <x:c r="Q9" s="28" t="str">
        <x:v>إنهاء عهدة العقد السابق عند 2026-03-01، احتساب المتأخر حتى القطع، ثم إنشاء/ربط عقد المستأجر الحالي بعد اعتماد الهوية.</x:v>
      </x:c>
      <x:c r="R9" s="28" t="str">
        <x:v>يحتاج اعتماد</x:v>
      </x:c>
      <x:c r="S9" s="28" t="str"/>
      <x:c r="T9" s="28" t="str">
        <x:v>حجز</x:v>
      </x:c>
      <x:c r="U9" s="28" t="str">
        <x:v>70704543</x:v>
      </x:c>
      <x:c r="V9" s="28" t="str">
        <x:v>عميل واحد</x:v>
      </x:c>
    </x:row>
    <x:row r="10" ht="38" customHeight="1">
      <x:c r="A10" s="28" t="str">
        <x:v>722134</x:v>
      </x:c>
      <x:c r="B10" s="28" t="str">
        <x:v>حمدي ثابت خليفة محمد</x:v>
      </x:c>
      <x:c r="C10" s="28" t="str">
        <x:v>حمدي ثابت خليفة محمد</x:v>
      </x:c>
      <x:c r="D10" s="85"/>
      <x:c r="E10" s="38" t="n">
        <x:v>0</x:v>
      </x:c>
      <x:c r="F10" s="28" t="str">
        <x:v>قرار إداري أحدث</x:v>
      </x:c>
      <x:c r="G10" s="28" t="str"/>
      <x:c r="H10" s="28" t="str"/>
      <x:c r="I10" s="28" t="str"/>
      <x:c r="J10" s="28" t="str"/>
      <x:c r="K10" s="37" t="n">
        <x:v>0</x:v>
      </x:c>
      <x:c r="L10" s="37" t="n">
        <x:v>0</x:v>
      </x:c>
      <x:c r="M10" s="37" t="n">
        <x:v>0</x:v>
      </x:c>
      <x:c r="N10" s="37" t="n">
        <x:v>0</x:v>
      </x:c>
      <x:c r="O10" s="28" t="str">
        <x:v>لا</x:v>
      </x:c>
      <x:c r="P10" s="28" t="str"/>
      <x:c r="Q10" s="28" t="str">
        <x:v>قرار ملكية مكتملة: عدم إنشاء عقد إيجار جديد وإبقاء المركبة خارج الخدمة لحين نقل الملكية.</x:v>
      </x:c>
      <x:c r="R10" s="28" t="str">
        <x:v>مؤكد بقرار أحدث</x:v>
      </x:c>
      <x:c r="S10" s="28" t="str"/>
      <x:c r="T10" s="28" t="str">
        <x:v>-- - -- - -- -- | لا يوجد تاريخ/قسط في ملف الورد</x:v>
      </x:c>
      <x:c r="U10" s="28" t="str"/>
      <x:c r="V10" s="28" t="str">
        <x:v>عميل واحد</x:v>
      </x:c>
    </x:row>
    <x:row r="11" ht="38" customHeight="1">
      <x:c r="A11" s="28" t="str">
        <x:v>856718</x:v>
      </x:c>
      <x:c r="B11" s="28" t="str">
        <x:v>حسان بو علاق</x:v>
      </x:c>
      <x:c r="C11" s="28" t="str">
        <x:v>حسان بو علاق</x:v>
      </x:c>
      <x:c r="D11" s="85" t="n">
        <x:v>45702</x:v>
      </x:c>
      <x:c r="E11" s="38" t="n">
        <x:v>1700</x:v>
      </x:c>
      <x:c r="F11" s="28" t="str">
        <x:v>مطابق</x:v>
      </x:c>
      <x:c r="G11" s="28" t="str">
        <x:v>AGR-202504-406129</x:v>
      </x:c>
      <x:c r="H11" s="28" t="str">
        <x:v>حسان بو علاق</x:v>
      </x:c>
      <x:c r="I11" s="28" t="str">
        <x:v>إجراء قانوني</x:v>
      </x:c>
      <x:c r="J11" s="28" t="str"/>
      <x:c r="K11" s="37" t="n">
        <x:v>13548</x:v>
      </x:c>
      <x:c r="L11" s="37" t="n">
        <x:v>27200</x:v>
      </x:c>
      <x:c r="M11" s="37" t="n">
        <x:v>12200</x:v>
      </x:c>
      <x:c r="N11" s="37" t="n">
        <x:v>50348</x:v>
      </x:c>
      <x:c r="O11" s="28" t="str">
        <x:v>لا</x:v>
      </x:c>
      <x:c r="P11" s="28" t="str">
        <x:v>لا</x:v>
      </x:c>
      <x:c r="Q11" s="28" t="str">
        <x:v>إبقاء العقد قانونيًا مع توثيق استمرار/انتهاء حيازة المركبة ومراجعة المطالبة الدورية.</x:v>
      </x:c>
      <x:c r="R11" s="28" t="str">
        <x:v>متوسط</x:v>
      </x:c>
      <x:c r="S11" s="28" t="str"/>
      <x:c r="T11" s="28" t="str">
        <x:v>مرور 52</x:v>
      </x:c>
      <x:c r="U11" s="28" t="str">
        <x:v>66553638</x:v>
      </x:c>
      <x:c r="V11" s="28" t="str">
        <x:v>عميل واحد</x:v>
      </x:c>
    </x:row>
    <x:row r="12" ht="38" customHeight="1">
      <x:c r="A12" s="28" t="str">
        <x:v>857045</x:v>
      </x:c>
      <x:c r="B12" s="28" t="str">
        <x:v>عمارة خرّوبي</x:v>
      </x:c>
      <x:c r="C12" s="28" t="str">
        <x:v>عمارة خرّوبي</x:v>
      </x:c>
      <x:c r="D12" s="85" t="n">
        <x:v>45293</x:v>
      </x:c>
      <x:c r="E12" s="38" t="n">
        <x:v>2000</x:v>
      </x:c>
      <x:c r="F12" s="28" t="str">
        <x:v>مطابق</x:v>
      </x:c>
      <x:c r="G12" s="28" t="str">
        <x:v>C-ALF-0083</x:v>
      </x:c>
      <x:c r="H12" s="28" t="str">
        <x:v>عمارة خرّوبي</x:v>
      </x:c>
      <x:c r="I12" s="28" t="str">
        <x:v>إجراء قانوني</x:v>
      </x:c>
      <x:c r="J12" s="28" t="str"/>
      <x:c r="K12" s="37" t="n">
        <x:v>9350</x:v>
      </x:c>
      <x:c r="L12" s="37" t="n">
        <x:v>8000</x:v>
      </x:c>
      <x:c r="M12" s="37" t="n">
        <x:v>6100</x:v>
      </x:c>
      <x:c r="N12" s="37" t="n">
        <x:v>0</x:v>
      </x:c>
      <x:c r="O12" s="28" t="str">
        <x:v>نعم</x:v>
      </x:c>
      <x:c r="P12" s="28" t="str">
        <x:v>لا</x:v>
      </x:c>
      <x:c r="Q12" s="28" t="str">
        <x:v>إبقاء العقد قانونيًا مع توثيق استمرار/انتهاء حيازة المركبة ومراجعة المطالبة الدورية.</x:v>
      </x:c>
      <x:c r="R12" s="28" t="str">
        <x:v>عالٍ</x:v>
      </x:c>
      <x:c r="S12" s="28" t="str"/>
      <x:c r="T12" s="28" t="str"/>
      <x:c r="U12" s="28" t="str">
        <x:v>77785598</x:v>
      </x:c>
      <x:c r="V12" s="28" t="str">
        <x:v>عميل واحد</x:v>
      </x:c>
    </x:row>
    <x:row r="13" ht="38" customHeight="1">
      <x:c r="A13" s="28" t="str">
        <x:v>857051</x:v>
      </x:c>
      <x:c r="B13" s="28" t="str">
        <x:v>فخري الدين عثمان</x:v>
      </x:c>
      <x:c r="C13" s="28" t="str">
        <x:v>فخري الدين عثمان</x:v>
      </x:c>
      <x:c r="D13" s="85" t="n">
        <x:v>46222</x:v>
      </x:c>
      <x:c r="E13" s="38" t="n">
        <x:v>1650</x:v>
      </x:c>
      <x:c r="F13" s="28" t="str">
        <x:v>عقد باسم عميل آخر</x:v>
      </x:c>
      <x:c r="G13" s="28" t="str">
        <x:v>LTO2024152</x:v>
      </x:c>
      <x:c r="H13" s="28" t="str">
        <x:v>هاني هشام</x:v>
      </x:c>
      <x:c r="I13" s="28" t="str">
        <x:v>ساري</x:v>
      </x:c>
      <x:c r="J13" s="28" t="str">
        <x:v>C-ALF-0041 / 5900 / إجراء قانوني</x:v>
      </x:c>
      <x:c r="K13" s="37" t="n">
        <x:v>0</x:v>
      </x:c>
      <x:c r="L13" s="37" t="n">
        <x:v>0</x:v>
      </x:c>
      <x:c r="M13" s="37" t="n">
        <x:v>15100</x:v>
      </x:c>
      <x:c r="N13" s="37" t="n">
        <x:v>0</x:v>
      </x:c>
      <x:c r="O13" s="28" t="str">
        <x:v>نعم</x:v>
      </x:c>
      <x:c r="P13" s="28" t="str">
        <x:v>لا</x:v>
      </x:c>
      <x:c r="Q13" s="28" t="str">
        <x:v>إنهاء عهدة العقد السابق عند 2026-07-19، احتساب المتأخر حتى القطع، ثم إنشاء/ربط عقد المستأجر الحالي بعد اعتماد الهوية.</x:v>
      </x:c>
      <x:c r="R13" s="28" t="str">
        <x:v>يحتاج اعتماد</x:v>
      </x:c>
      <x:c r="S13" s="28" t="str"/>
      <x:c r="T13" s="28" t="str">
        <x:v>لا يوجد نهاية في ملف الورد</x:v>
      </x:c>
      <x:c r="U13" s="28" t="str">
        <x:v>55422771</x:v>
      </x:c>
      <x:c r="V13" s="28" t="str">
        <x:v>عميل واحد</x:v>
      </x:c>
    </x:row>
    <x:row r="14" ht="38" customHeight="1">
      <x:c r="A14" s="28" t="str">
        <x:v>893406</x:v>
      </x:c>
      <x:c r="B14" s="28" t="str">
        <x:v>محمود جاسم الصالح</x:v>
      </x:c>
      <x:c r="C14" s="28" t="str">
        <x:v>محمود جاسم الصالح</x:v>
      </x:c>
      <x:c r="D14" s="85" t="n">
        <x:v>46057</x:v>
      </x:c>
      <x:c r="E14" s="38" t="n">
        <x:v>1600</x:v>
      </x:c>
      <x:c r="F14" s="28" t="str">
        <x:v>لا يوجد عقد حي</x:v>
      </x:c>
      <x:c r="G14" s="28" t="str"/>
      <x:c r="H14" s="28" t="str"/>
      <x:c r="I14" s="28" t="str"/>
      <x:c r="J14" s="28" t="str"/>
      <x:c r="K14" s="37" t="n">
        <x:v>0</x:v>
      </x:c>
      <x:c r="L14" s="37" t="n">
        <x:v>0</x:v>
      </x:c>
      <x:c r="M14" s="37" t="n">
        <x:v>0</x:v>
      </x:c>
      <x:c r="N14" s="37" t="n">
        <x:v>0</x:v>
      </x:c>
      <x:c r="O14" s="28" t="str">
        <x:v>لا</x:v>
      </x:c>
      <x:c r="P14" s="28" t="str"/>
      <x:c r="Q14" s="28" t="str">
        <x:v>استكمال هوية وملف موقّع وتاريخ التسليم، ثم إنشاء عقد جديد؛ لا يُنشأ عقد قانوني أو مطالبة آليًا من الاسم وحده.</x:v>
      </x:c>
      <x:c r="R14" s="28" t="str">
        <x:v>يحتاج اعتماد</x:v>
      </x:c>
      <x:c r="S14" s="28" t="str"/>
      <x:c r="T14" s="28" t="str"/>
      <x:c r="U14" s="28" t="str"/>
      <x:c r="V14" s="28" t="str">
        <x:v>سجلات متعددة</x:v>
      </x:c>
    </x:row>
    <x:row r="15" ht="38" customHeight="1">
      <x:c r="A15" s="28" t="str">
        <x:v>893409</x:v>
      </x:c>
      <x:c r="B15" s="28" t="str">
        <x:v>عقبة يوسف قصعاوي</x:v>
      </x:c>
      <x:c r="C15" s="28" t="str">
        <x:v>عقبة يوسف قصعاوي</x:v>
      </x:c>
      <x:c r="D15" s="85" t="n">
        <x:v>45717</x:v>
      </x:c>
      <x:c r="E15" s="38" t="n">
        <x:v>1600</x:v>
      </x:c>
      <x:c r="F15" s="28" t="str">
        <x:v>عقد العميل على مركبة أخرى</x:v>
      </x:c>
      <x:c r="G15" s="28" t="str"/>
      <x:c r="H15" s="28" t="str"/>
      <x:c r="I15" s="28" t="str"/>
      <x:c r="J15" s="28" t="str">
        <x:v>C-ALF-0030 / 381247 / ساري</x:v>
      </x:c>
      <x:c r="K15" s="37" t="n">
        <x:v>0</x:v>
      </x:c>
      <x:c r="L15" s="37" t="n">
        <x:v>0</x:v>
      </x:c>
      <x:c r="M15" s="37" t="n">
        <x:v>0</x:v>
      </x:c>
      <x:c r="N15" s="37" t="n">
        <x:v>0</x:v>
      </x:c>
      <x:c r="O15" s="28" t="str">
        <x:v>لا</x:v>
      </x:c>
      <x:c r="P15" s="28" t="str"/>
      <x:c r="Q15" s="28" t="str">
        <x:v>مراجعة اللوحتين والملف الموقّع؛ فصل الحيازة الخاطئة ثم إنشاء/ربط العقد على لوحة أغسطس دون حذف المطالبة القديمة.</x:v>
      </x:c>
      <x:c r="R15" s="28" t="str">
        <x:v>يحتاج اعتماد</x:v>
      </x:c>
      <x:c r="S15" s="28" t="str"/>
      <x:c r="T15" s="28" t="str"/>
      <x:c r="U15" s="28" t="str">
        <x:v>50409220</x:v>
      </x:c>
      <x:c r="V15" s="28" t="str">
        <x:v>عميل واحد</x:v>
      </x:c>
    </x:row>
    <x:row r="16" ht="38" customHeight="1">
      <x:c r="A16" s="28" t="str">
        <x:v>893410</x:v>
      </x:c>
      <x:c r="B16" s="28" t="str">
        <x:v>عمار عبد العزيز الغزي</x:v>
      </x:c>
      <x:c r="C16" s="28" t="str">
        <x:v>عمار عبد العزيز الغزي</x:v>
      </x:c>
      <x:c r="D16" s="85" t="n">
        <x:v>45539</x:v>
      </x:c>
      <x:c r="E16" s="38" t="n">
        <x:v>1750</x:v>
      </x:c>
      <x:c r="F16" s="28" t="str">
        <x:v>مطابق</x:v>
      </x:c>
      <x:c r="G16" s="28" t="str">
        <x:v>C-ALF-0089</x:v>
      </x:c>
      <x:c r="H16" s="28" t="str">
        <x:v>عمار عبد العزيز الغزي</x:v>
      </x:c>
      <x:c r="I16" s="28" t="str">
        <x:v>ساري</x:v>
      </x:c>
      <x:c r="J16" s="28" t="str"/>
      <x:c r="K16" s="37" t="n">
        <x:v>24540</x:v>
      </x:c>
      <x:c r="L16" s="37" t="n">
        <x:v>14000</x:v>
      </x:c>
      <x:c r="M16" s="37" t="n">
        <x:v>2800</x:v>
      </x:c>
      <x:c r="N16" s="37" t="n">
        <x:v>0</x:v>
      </x:c>
      <x:c r="O16" s="28" t="str">
        <x:v>لا</x:v>
      </x:c>
      <x:c r="P16" s="28" t="str">
        <x:v>لا</x:v>
      </x:c>
      <x:c r="Q16" s="28" t="str">
        <x:v>إبقاء العقد ساريًا؛ لا تعديل على الهوية أو المركبة.</x:v>
      </x:c>
      <x:c r="R16" s="28" t="str">
        <x:v>متوسط</x:v>
      </x:c>
      <x:c r="S16" s="28" t="str"/>
      <x:c r="T16" s="28" t="str"/>
      <x:c r="U16" s="28" t="str">
        <x:v>30403800</x:v>
      </x:c>
      <x:c r="V16" s="28" t="str">
        <x:v>عميل واحد</x:v>
      </x:c>
    </x:row>
    <x:row r="17" ht="38" customHeight="1">
      <x:c r="A17" s="28" t="str">
        <x:v>2766</x:v>
      </x:c>
      <x:c r="B17" s="28" t="str">
        <x:v>محمد محمد أحمد محمد</x:v>
      </x:c>
      <x:c r="C17" s="28" t="str">
        <x:v>محمد محمد أحمد محمد</x:v>
      </x:c>
      <x:c r="D17" s="85" t="n">
        <x:v>45693</x:v>
      </x:c>
      <x:c r="E17" s="38" t="n">
        <x:v>1600</x:v>
      </x:c>
      <x:c r="F17" s="28" t="str">
        <x:v>مطابق</x:v>
      </x:c>
      <x:c r="G17" s="28" t="str">
        <x:v>AGR-202504-424958</x:v>
      </x:c>
      <x:c r="H17" s="28" t="str">
        <x:v>محمد محمد أحمد محمد</x:v>
      </x:c>
      <x:c r="I17" s="28" t="str">
        <x:v>إجراء قانوني</x:v>
      </x:c>
      <x:c r="J17" s="28" t="str"/>
      <x:c r="K17" s="37" t="n">
        <x:v>12800</x:v>
      </x:c>
      <x:c r="L17" s="37" t="n">
        <x:v>38400</x:v>
      </x:c>
      <x:c r="M17" s="37" t="n">
        <x:v>3800</x:v>
      </x:c>
      <x:c r="N17" s="37" t="n">
        <x:v>12325</x:v>
      </x:c>
      <x:c r="O17" s="28" t="str">
        <x:v>لا</x:v>
      </x:c>
      <x:c r="P17" s="28" t="str">
        <x:v>لا</x:v>
      </x:c>
      <x:c r="Q17" s="28" t="str">
        <x:v>إبقاء العقد قانونيًا مع توثيق استمرار/انتهاء حيازة المركبة ومراجعة المطالبة الدورية.</x:v>
      </x:c>
      <x:c r="R17" s="28" t="str">
        <x:v>متوسط</x:v>
      </x:c>
      <x:c r="S17" s="28" t="str"/>
      <x:c r="T17" s="28" t="str">
        <x:v>1600</x:v>
      </x:c>
      <x:c r="U17" s="28" t="str">
        <x:v>70007983</x:v>
      </x:c>
      <x:c r="V17" s="28" t="str">
        <x:v>عميل واحد</x:v>
      </x:c>
    </x:row>
    <x:row r="18" ht="38" customHeight="1">
      <x:c r="A18" s="28" t="str">
        <x:v>2768</x:v>
      </x:c>
      <x:c r="B18" s="28" t="str">
        <x:v>عبد العزيز محمد</x:v>
      </x:c>
      <x:c r="C18" s="28" t="str">
        <x:v>عبد العزيز محمد</x:v>
      </x:c>
      <x:c r="D18" s="85" t="n">
        <x:v>45717</x:v>
      </x:c>
      <x:c r="E18" s="38" t="n">
        <x:v>1500</x:v>
      </x:c>
      <x:c r="F18" s="28" t="str">
        <x:v>مطابق</x:v>
      </x:c>
      <x:c r="G18" s="28" t="str">
        <x:v>C-ALF-0013</x:v>
      </x:c>
      <x:c r="H18" s="28" t="str">
        <x:v>عبد العزيز محمد</x:v>
      </x:c>
      <x:c r="I18" s="28" t="str">
        <x:v>ساري</x:v>
      </x:c>
      <x:c r="J18" s="28" t="str"/>
      <x:c r="K18" s="37" t="n">
        <x:v>12000</x:v>
      </x:c>
      <x:c r="L18" s="37" t="n">
        <x:v>6000</x:v>
      </x:c>
      <x:c r="M18" s="37" t="n">
        <x:v>2500</x:v>
      </x:c>
      <x:c r="N18" s="37" t="n">
        <x:v>0</x:v>
      </x:c>
      <x:c r="O18" s="28" t="str">
        <x:v>لا</x:v>
      </x:c>
      <x:c r="P18" s="28" t="str">
        <x:v>لا</x:v>
      </x:c>
      <x:c r="Q18" s="28" t="str">
        <x:v>إبقاء العقد ساريًا؛ لا تعديل على الهوية أو المركبة.</x:v>
      </x:c>
      <x:c r="R18" s="28" t="str">
        <x:v>متوسط</x:v>
      </x:c>
      <x:c r="S18" s="28" t="str"/>
      <x:c r="T18" s="28" t="str"/>
      <x:c r="U18" s="28" t="str">
        <x:v>70342655</x:v>
      </x:c>
      <x:c r="V18" s="28" t="str">
        <x:v>عميل واحد</x:v>
      </x:c>
    </x:row>
    <x:row r="19" ht="38" customHeight="1">
      <x:c r="A19" s="28" t="str">
        <x:v>2769</x:v>
      </x:c>
      <x:c r="B19" s="28" t="str">
        <x:v>وضاح عبد الله احمد العبيد</x:v>
      </x:c>
      <x:c r="C19" s="28" t="str">
        <x:v>وضاح عبد الله احمد العبيد</x:v>
      </x:c>
      <x:c r="D19" s="85" t="n">
        <x:v>45647</x:v>
      </x:c>
      <x:c r="E19" s="38" t="n">
        <x:v>1500</x:v>
      </x:c>
      <x:c r="F19" s="28" t="str">
        <x:v>مطابق</x:v>
      </x:c>
      <x:c r="G19" s="28" t="str">
        <x:v>C-ALF-0014</x:v>
      </x:c>
      <x:c r="H19" s="28" t="str">
        <x:v>وضاح عبد الله احمد العبيد</x:v>
      </x:c>
      <x:c r="I19" s="28" t="str">
        <x:v>إجراء قانوني</x:v>
      </x:c>
      <x:c r="J19" s="28" t="str"/>
      <x:c r="K19" s="37" t="n">
        <x:v>15000</x:v>
      </x:c>
      <x:c r="L19" s="37" t="n">
        <x:v>6000</x:v>
      </x:c>
      <x:c r="M19" s="37" t="n">
        <x:v>6800</x:v>
      </x:c>
      <x:c r="N19" s="37" t="n">
        <x:v>30600</x:v>
      </x:c>
      <x:c r="O19" s="28" t="str">
        <x:v>نعم</x:v>
      </x:c>
      <x:c r="P19" s="28" t="str">
        <x:v>لا</x:v>
      </x:c>
      <x:c r="Q19" s="28" t="str">
        <x:v>إبقاء العقد قانونيًا مع توثيق استمرار/انتهاء حيازة المركبة ومراجعة المطالبة الدورية.</x:v>
      </x:c>
      <x:c r="R19" s="28" t="str">
        <x:v>عالٍ</x:v>
      </x:c>
      <x:c r="S19" s="28" t="str"/>
      <x:c r="T19" s="28" t="str"/>
      <x:c r="U19" s="28" t="str">
        <x:v>71953163</x:v>
      </x:c>
      <x:c r="V19" s="28" t="str">
        <x:v>عميل واحد</x:v>
      </x:c>
    </x:row>
    <x:row r="20" ht="38" customHeight="1">
      <x:c r="A20" s="28" t="str">
        <x:v>2770</x:v>
      </x:c>
      <x:c r="B20" s="28" t="str">
        <x:v>خبيب رضا السحابي</x:v>
      </x:c>
      <x:c r="C20" s="28" t="str">
        <x:v>خبيب رضا السحابي</x:v>
      </x:c>
      <x:c r="D20" s="85" t="n">
        <x:v>45870</x:v>
      </x:c>
      <x:c r="E20" s="38" t="n">
        <x:v>1600</x:v>
      </x:c>
      <x:c r="F20" s="28" t="str">
        <x:v>مطابق</x:v>
      </x:c>
      <x:c r="G20" s="28" t="str">
        <x:v>C-ALF-0015</x:v>
      </x:c>
      <x:c r="H20" s="28" t="str">
        <x:v>خبيب رضا السحابي</x:v>
      </x:c>
      <x:c r="I20" s="28" t="str">
        <x:v>ساري</x:v>
      </x:c>
      <x:c r="J20" s="28" t="str"/>
      <x:c r="K20" s="37" t="n">
        <x:v>9450</x:v>
      </x:c>
      <x:c r="L20" s="37" t="n">
        <x:v>6400</x:v>
      </x:c>
      <x:c r="M20" s="37" t="n">
        <x:v>4700</x:v>
      </x:c>
      <x:c r="N20" s="37" t="n">
        <x:v>0</x:v>
      </x:c>
      <x:c r="O20" s="28" t="str">
        <x:v>لا</x:v>
      </x:c>
      <x:c r="P20" s="28" t="str">
        <x:v>لا</x:v>
      </x:c>
      <x:c r="Q20" s="28" t="str">
        <x:v>إبقاء العقد ساريًا؛ لا تعديل على الهوية أو المركبة.</x:v>
      </x:c>
      <x:c r="R20" s="28" t="str">
        <x:v>متوسط</x:v>
      </x:c>
      <x:c r="S20" s="28" t="str"/>
      <x:c r="T20" s="28" t="str">
        <x:v>1600 | لا يوجد نهاية في ملف الورد</x:v>
      </x:c>
      <x:c r="U20" s="28" t="str">
        <x:v>72202682</x:v>
      </x:c>
      <x:c r="V20" s="28" t="str">
        <x:v>عميل واحد</x:v>
      </x:c>
    </x:row>
    <x:row r="21" ht="38" customHeight="1">
      <x:c r="A21" s="28" t="str">
        <x:v>2772</x:v>
      </x:c>
      <x:c r="B21" s="28" t="str">
        <x:v>اسماعيل احمد عبد الله محمد</x:v>
      </x:c>
      <x:c r="C21" s="28" t="str">
        <x:v>اسماعيل احمد عبد الله محمد</x:v>
      </x:c>
      <x:c r="D21" s="85" t="n">
        <x:v>45487</x:v>
      </x:c>
      <x:c r="E21" s="38" t="n">
        <x:v>1750</x:v>
      </x:c>
      <x:c r="F21" s="28" t="str">
        <x:v>مطابق</x:v>
      </x:c>
      <x:c r="G21" s="28" t="str">
        <x:v>LTO2024248</x:v>
      </x:c>
      <x:c r="H21" s="28" t="str">
        <x:v>اسماعيل احمد عبد الله محمد</x:v>
      </x:c>
      <x:c r="I21" s="28" t="str">
        <x:v>ساري</x:v>
      </x:c>
      <x:c r="J21" s="28" t="str"/>
      <x:c r="K21" s="37" t="n">
        <x:v>0</x:v>
      </x:c>
      <x:c r="L21" s="37" t="n">
        <x:v>15750</x:v>
      </x:c>
      <x:c r="M21" s="37" t="n">
        <x:v>2000</x:v>
      </x:c>
      <x:c r="N21" s="37" t="n">
        <x:v>0</x:v>
      </x:c>
      <x:c r="O21" s="28" t="str">
        <x:v>لا</x:v>
      </x:c>
      <x:c r="P21" s="28" t="str">
        <x:v>لا</x:v>
      </x:c>
      <x:c r="Q21" s="28" t="str">
        <x:v>إبقاء العقد ساريًا؛ لا تعديل على الهوية أو المركبة.</x:v>
      </x:c>
      <x:c r="R21" s="28" t="str">
        <x:v>متوسط</x:v>
      </x:c>
      <x:c r="S21" s="28" t="str"/>
      <x:c r="T21" s="28" t="str">
        <x:v>1750</x:v>
      </x:c>
      <x:c r="U21" s="28" t="str">
        <x:v>30400511</x:v>
      </x:c>
      <x:c r="V21" s="28" t="str">
        <x:v>عميل واحد</x:v>
      </x:c>
    </x:row>
    <x:row r="22" ht="38" customHeight="1">
      <x:c r="A22" s="28" t="str">
        <x:v>2773</x:v>
      </x:c>
      <x:c r="B22" s="28" t="str">
        <x:v>حسام الدين إبراهيم</x:v>
      </x:c>
      <x:c r="C22" s="28" t="str">
        <x:v>أوول إبراهيم</x:v>
      </x:c>
      <x:c r="D22" s="85"/>
      <x:c r="E22" s="38" t="n">
        <x:v>1500</x:v>
      </x:c>
      <x:c r="F22" s="28" t="str">
        <x:v>قرار إداري أحدث</x:v>
      </x:c>
      <x:c r="G22" s="28" t="str"/>
      <x:c r="H22" s="28" t="str"/>
      <x:c r="I22" s="28" t="str"/>
      <x:c r="J22" s="28" t="str"/>
      <x:c r="K22" s="37" t="n">
        <x:v>0</x:v>
      </x:c>
      <x:c r="L22" s="37" t="n">
        <x:v>0</x:v>
      </x:c>
      <x:c r="M22" s="37" t="n">
        <x:v>0</x:v>
      </x:c>
      <x:c r="N22" s="37" t="n">
        <x:v>0</x:v>
      </x:c>
      <x:c r="O22" s="28" t="str">
        <x:v>لا</x:v>
      </x:c>
      <x:c r="P22" s="28" t="str"/>
      <x:c r="Q22" s="28" t="str">
        <x:v>قرار إداري أحدث: المركبة شارع 52؛ لا يُعاد إنشاء عقد من ملف أغسطس.</x:v>
      </x:c>
      <x:c r="R22" s="28" t="str">
        <x:v>مؤكد بقرار أحدث</x:v>
      </x:c>
      <x:c r="S22" s="28" t="str"/>
      <x:c r="T22" s="28" t="str">
        <x:v>الصناعية | لا يوجد بداية ونهاية في ملف الورد</x:v>
      </x:c>
      <x:c r="U22" s="28" t="str"/>
      <x:c r="V22" s="28" t="str">
        <x:v>عميل واحد</x:v>
      </x:c>
    </x:row>
    <x:row r="23" ht="38" customHeight="1">
      <x:c r="A23" s="28" t="str">
        <x:v>2775</x:v>
      </x:c>
      <x:c r="B23" s="28" t="str">
        <x:v>ياسين  الزلماطي</x:v>
      </x:c>
      <x:c r="C23" s="28" t="str">
        <x:v>ياسين  الزلماطي</x:v>
      </x:c>
      <x:c r="D23" s="85" t="n">
        <x:v>46023</x:v>
      </x:c>
      <x:c r="E23" s="38" t="n">
        <x:v>1600</x:v>
      </x:c>
      <x:c r="F23" s="28" t="str">
        <x:v>مطابق</x:v>
      </x:c>
      <x:c r="G23" s="28" t="str">
        <x:v>CON-26-X698L2</x:v>
      </x:c>
      <x:c r="H23" s="28" t="str">
        <x:v>ياسين  الزلماطي</x:v>
      </x:c>
      <x:c r="I23" s="28" t="str">
        <x:v>ساري</x:v>
      </x:c>
      <x:c r="J23" s="28" t="str"/>
      <x:c r="K23" s="37" t="n">
        <x:v>3200</x:v>
      </x:c>
      <x:c r="L23" s="37" t="n">
        <x:v>17600</x:v>
      </x:c>
      <x:c r="M23" s="37" t="n">
        <x:v>2200</x:v>
      </x:c>
      <x:c r="N23" s="37" t="n">
        <x:v>0</x:v>
      </x:c>
      <x:c r="O23" s="28" t="str">
        <x:v>لا</x:v>
      </x:c>
      <x:c r="P23" s="28" t="str">
        <x:v>لا</x:v>
      </x:c>
      <x:c r="Q23" s="28" t="str">
        <x:v>إبقاء العقد ساريًا؛ لا تعديل على الهوية أو المركبة.</x:v>
      </x:c>
      <x:c r="R23" s="28" t="str">
        <x:v>متوسط</x:v>
      </x:c>
      <x:c r="S23" s="28" t="str"/>
      <x:c r="T23" s="28" t="str">
        <x:v>1600</x:v>
      </x:c>
      <x:c r="U23" s="28" t="str">
        <x:v>55315381</x:v>
      </x:c>
      <x:c r="V23" s="28" t="str">
        <x:v>عميل واحد</x:v>
      </x:c>
    </x:row>
    <x:row r="24" ht="38" customHeight="1">
      <x:c r="A24" s="28" t="str">
        <x:v>2778</x:v>
      </x:c>
      <x:c r="B24" s="28" t="str">
        <x:v>بلال اليعقوبي</x:v>
      </x:c>
      <x:c r="C24" s="28" t="str">
        <x:v>بلال اليعقوبي</x:v>
      </x:c>
      <x:c r="D24" s="85" t="n">
        <x:v>45853</x:v>
      </x:c>
      <x:c r="E24" s="38" t="n">
        <x:v>1500</x:v>
      </x:c>
      <x:c r="F24" s="28" t="str">
        <x:v>مطابق</x:v>
      </x:c>
      <x:c r="G24" s="28" t="str">
        <x:v>C-ALF-0023</x:v>
      </x:c>
      <x:c r="H24" s="28" t="str">
        <x:v>بلال اليعقوبي</x:v>
      </x:c>
      <x:c r="I24" s="28" t="str">
        <x:v>إجراء قانوني</x:v>
      </x:c>
      <x:c r="J24" s="28" t="str"/>
      <x:c r="K24" s="37" t="n">
        <x:v>17000</x:v>
      </x:c>
      <x:c r="L24" s="37" t="n">
        <x:v>6000</x:v>
      </x:c>
      <x:c r="M24" s="37" t="n">
        <x:v>5400</x:v>
      </x:c>
      <x:c r="N24" s="37" t="n">
        <x:v>25500</x:v>
      </x:c>
      <x:c r="O24" s="28" t="str">
        <x:v>لا</x:v>
      </x:c>
      <x:c r="P24" s="28" t="str">
        <x:v>لا</x:v>
      </x:c>
      <x:c r="Q24" s="28" t="str">
        <x:v>إبقاء العقد قانونيًا مع توثيق استمرار/انتهاء حيازة المركبة ومراجعة المطالبة الدورية.</x:v>
      </x:c>
      <x:c r="R24" s="28" t="str">
        <x:v>متوسط</x:v>
      </x:c>
      <x:c r="S24" s="28" t="str"/>
      <x:c r="T24" s="28" t="str">
        <x:v>لا يوجد نهاية في ملف الورد</x:v>
      </x:c>
      <x:c r="U24" s="28" t="str">
        <x:v>70400898</x:v>
      </x:c>
      <x:c r="V24" s="28" t="str">
        <x:v>عميل واحد</x:v>
      </x:c>
    </x:row>
    <x:row r="25" ht="38" customHeight="1">
      <x:c r="A25" s="28" t="str">
        <x:v>2780</x:v>
      </x:c>
      <x:c r="B25" s="28" t="str">
        <x:v>ياسين محمد سرحاني</x:v>
      </x:c>
      <x:c r="C25" s="28" t="str">
        <x:v>ياسين محمد سرحاني</x:v>
      </x:c>
      <x:c r="D25" s="85" t="n">
        <x:v>45289</x:v>
      </x:c>
      <x:c r="E25" s="38" t="n">
        <x:v>2100</x:v>
      </x:c>
      <x:c r="F25" s="28" t="str">
        <x:v>مطابق</x:v>
      </x:c>
      <x:c r="G25" s="28" t="str">
        <x:v>C-ALF-0025</x:v>
      </x:c>
      <x:c r="H25" s="28" t="str">
        <x:v>ياسين محمد سرحاني</x:v>
      </x:c>
      <x:c r="I25" s="28" t="str">
        <x:v>إجراء قانوني</x:v>
      </x:c>
      <x:c r="J25" s="28" t="str"/>
      <x:c r="K25" s="37" t="n">
        <x:v>9870</x:v>
      </x:c>
      <x:c r="L25" s="37" t="n">
        <x:v>6300</x:v>
      </x:c>
      <x:c r="M25" s="37" t="n">
        <x:v>7100</x:v>
      </x:c>
      <x:c r="N25" s="37" t="n">
        <x:v>26660</x:v>
      </x:c>
      <x:c r="O25" s="28" t="str">
        <x:v>لا</x:v>
      </x:c>
      <x:c r="P25" s="28" t="str">
        <x:v>لا</x:v>
      </x:c>
      <x:c r="Q25" s="28" t="str">
        <x:v>إبقاء العقد قانونيًا مع توثيق استمرار/انتهاء حيازة المركبة ومراجعة المطالبة الدورية.</x:v>
      </x:c>
      <x:c r="R25" s="28" t="str">
        <x:v>متوسط</x:v>
      </x:c>
      <x:c r="S25" s="28" t="str"/>
      <x:c r="T25" s="28" t="str"/>
      <x:c r="U25" s="28" t="str">
        <x:v>71002048</x:v>
      </x:c>
      <x:c r="V25" s="28" t="str">
        <x:v>عميل واحد</x:v>
      </x:c>
    </x:row>
    <x:row r="26" ht="38" customHeight="1">
      <x:c r="A26" s="28" t="str">
        <x:v>2781</x:v>
      </x:c>
      <x:c r="B26" s="28" t="str">
        <x:v>محمد بكوش</x:v>
      </x:c>
      <x:c r="C26" s="28" t="str">
        <x:v>غير موجود في النظام</x:v>
      </x:c>
      <x:c r="D26" s="85" t="n">
        <x:v>46174</x:v>
      </x:c>
      <x:c r="E26" s="38" t="n">
        <x:v>1500</x:v>
      </x:c>
      <x:c r="F26" s="28" t="str">
        <x:v>لا يوجد عقد حي</x:v>
      </x:c>
      <x:c r="G26" s="28" t="str"/>
      <x:c r="H26" s="28" t="str"/>
      <x:c r="I26" s="28" t="str"/>
      <x:c r="J26" s="28" t="str"/>
      <x:c r="K26" s="37" t="n">
        <x:v>0</x:v>
      </x:c>
      <x:c r="L26" s="37" t="n">
        <x:v>0</x:v>
      </x:c>
      <x:c r="M26" s="37" t="n">
        <x:v>0</x:v>
      </x:c>
      <x:c r="N26" s="37" t="n">
        <x:v>0</x:v>
      </x:c>
      <x:c r="O26" s="28" t="str">
        <x:v>لا</x:v>
      </x:c>
      <x:c r="P26" s="28" t="str"/>
      <x:c r="Q26" s="28" t="str">
        <x:v>استكمال هوية وملف موقّع وتاريخ التسليم، ثم إنشاء عقد جديد؛ لا يُنشأ عقد قانوني أو مطالبة آليًا من الاسم وحده.</x:v>
      </x:c>
      <x:c r="R26" s="28" t="str">
        <x:v>يحتاج اعتماد</x:v>
      </x:c>
      <x:c r="S26" s="28" t="str"/>
      <x:c r="T26" s="28" t="str">
        <x:v>لا يوجد نهاية في ملف الورد</x:v>
      </x:c>
      <x:c r="U26" s="28" t="str"/>
      <x:c r="V26" s="28" t="str">
        <x:v>غير موجود</x:v>
      </x:c>
    </x:row>
    <x:row r="27" ht="38" customHeight="1">
      <x:c r="A27" s="28" t="str">
        <x:v>2782</x:v>
      </x:c>
      <x:c r="B27" s="28" t="str">
        <x:v>سعيد الهلالي</x:v>
      </x:c>
      <x:c r="C27" s="28" t="str">
        <x:v>سعيد الهلالي</x:v>
      </x:c>
      <x:c r="D27" s="85"/>
      <x:c r="E27" s="38" t="n">
        <x:v>1000</x:v>
      </x:c>
      <x:c r="F27" s="28" t="str">
        <x:v>عقد باسم عميل آخر</x:v>
      </x:c>
      <x:c r="G27" s="28" t="str">
        <x:v>AGR-202504-399591</x:v>
      </x:c>
      <x:c r="H27" s="28" t="str">
        <x:v>شرفي عبد الله</x:v>
      </x:c>
      <x:c r="I27" s="28" t="str">
        <x:v>ساري</x:v>
      </x:c>
      <x:c r="J27" s="28" t="str">
        <x:v>LTO202456 / 21875 / إجراء قانوني</x:v>
      </x:c>
      <x:c r="K27" s="37" t="n">
        <x:v>28800</x:v>
      </x:c>
      <x:c r="L27" s="37" t="n">
        <x:v>49500</x:v>
      </x:c>
      <x:c r="M27" s="37" t="n">
        <x:v>500</x:v>
      </x:c>
      <x:c r="N27" s="37" t="n">
        <x:v>0</x:v>
      </x:c>
      <x:c r="O27" s="28" t="str">
        <x:v>لا</x:v>
      </x:c>
      <x:c r="P27" s="28" t="str">
        <x:v>لا</x:v>
      </x:c>
      <x:c r="Q27" s="28" t="str">
        <x:v>إيقاف اعتبار العقد المختلف حيازة حالية؛ يلزم إثبات تاريخ التسليم قبل الإلغاء وإنشاء عقد المستأجر الحالي.</x:v>
      </x:c>
      <x:c r="R27" s="28" t="str">
        <x:v>يحتاج اعتماد</x:v>
      </x:c>
      <x:c r="S27" s="28" t="str"/>
      <x:c r="T27" s="28" t="str">
        <x:v>لا يوجد بداية ونهاية في ملف الورد</x:v>
      </x:c>
      <x:c r="U27" s="28" t="str"/>
      <x:c r="V27" s="28" t="str">
        <x:v>عميل واحد</x:v>
      </x:c>
    </x:row>
    <x:row r="28" ht="38" customHeight="1">
      <x:c r="A28" s="28" t="str">
        <x:v>2784</x:v>
      </x:c>
      <x:c r="B28" s="28" t="str">
        <x:v>عثمان عبيريزة</x:v>
      </x:c>
      <x:c r="C28" s="28" t="str">
        <x:v>عثمان عبيريزة</x:v>
      </x:c>
      <x:c r="D28" s="85" t="n">
        <x:v>45505</x:v>
      </x:c>
      <x:c r="E28" s="38" t="n">
        <x:v>1600</x:v>
      </x:c>
      <x:c r="F28" s="28" t="str">
        <x:v>مطابق</x:v>
      </x:c>
      <x:c r="G28" s="28" t="str">
        <x:v>C-ALF-0028</x:v>
      </x:c>
      <x:c r="H28" s="28" t="str">
        <x:v>عثمان عبيريزة</x:v>
      </x:c>
      <x:c r="I28" s="28" t="str">
        <x:v>ساري</x:v>
      </x:c>
      <x:c r="J28" s="28" t="str"/>
      <x:c r="K28" s="37" t="n">
        <x:v>7750</x:v>
      </x:c>
      <x:c r="L28" s="37" t="n">
        <x:v>41600</x:v>
      </x:c>
      <x:c r="M28" s="37" t="n">
        <x:v>600</x:v>
      </x:c>
      <x:c r="N28" s="37" t="n">
        <x:v>0</x:v>
      </x:c>
      <x:c r="O28" s="28" t="str">
        <x:v>لا</x:v>
      </x:c>
      <x:c r="P28" s="28" t="str">
        <x:v>لا</x:v>
      </x:c>
      <x:c r="Q28" s="28" t="str">
        <x:v>إبقاء العقد ساريًا؛ لا تعديل على الهوية أو المركبة.</x:v>
      </x:c>
      <x:c r="R28" s="28" t="str">
        <x:v>متوسط</x:v>
      </x:c>
      <x:c r="S28" s="28" t="str"/>
      <x:c r="T28" s="28" t="str">
        <x:v>1500</x:v>
      </x:c>
      <x:c r="U28" s="28" t="str">
        <x:v>30770117</x:v>
      </x:c>
      <x:c r="V28" s="28" t="str">
        <x:v>عميل واحد</x:v>
      </x:c>
    </x:row>
    <x:row r="29" ht="38" customHeight="1">
      <x:c r="A29" s="28" t="str">
        <x:v>5889</x:v>
      </x:c>
      <x:c r="B29" s="28" t="str">
        <x:v>ايمن خليفة حمادي</x:v>
      </x:c>
      <x:c r="C29" s="28" t="str">
        <x:v>ايمن خليفة حمادي</x:v>
      </x:c>
      <x:c r="D29" s="85" t="n">
        <x:v>45250</x:v>
      </x:c>
      <x:c r="E29" s="38" t="n">
        <x:v>2100</x:v>
      </x:c>
      <x:c r="F29" s="28" t="str">
        <x:v>لا يوجد عقد حي</x:v>
      </x:c>
      <x:c r="G29" s="28" t="str"/>
      <x:c r="H29" s="28" t="str"/>
      <x:c r="I29" s="28" t="str"/>
      <x:c r="J29" s="28" t="str"/>
      <x:c r="K29" s="37" t="n">
        <x:v>0</x:v>
      </x:c>
      <x:c r="L29" s="37" t="n">
        <x:v>0</x:v>
      </x:c>
      <x:c r="M29" s="37" t="n">
        <x:v>0</x:v>
      </x:c>
      <x:c r="N29" s="37" t="n">
        <x:v>0</x:v>
      </x:c>
      <x:c r="O29" s="28" t="str">
        <x:v>لا</x:v>
      </x:c>
      <x:c r="P29" s="28" t="str"/>
      <x:c r="Q29" s="28" t="str">
        <x:v>استكمال هوية وملف موقّع وتاريخ التسليم، ثم إنشاء عقد جديد؛ لا يُنشأ عقد قانوني أو مطالبة آليًا من الاسم وحده.</x:v>
      </x:c>
      <x:c r="R29" s="28" t="str">
        <x:v>يحتاج اعتماد</x:v>
      </x:c>
      <x:c r="S29" s="28" t="str"/>
      <x:c r="T29" s="28" t="str"/>
      <x:c r="U29" s="28" t="str">
        <x:v>30305808</x:v>
      </x:c>
      <x:c r="V29" s="28" t="str">
        <x:v>عميل واحد</x:v>
      </x:c>
    </x:row>
    <x:row r="30" ht="38" customHeight="1">
      <x:c r="A30" s="28" t="str">
        <x:v>5890</x:v>
      </x:c>
      <x:c r="B30" s="28" t="str">
        <x:v>عبد العزيز بن نبيل جرفال</x:v>
      </x:c>
      <x:c r="C30" s="28" t="str">
        <x:v>عبد العزيز بن نبيل جرفال</x:v>
      </x:c>
      <x:c r="D30" s="85" t="n">
        <x:v>45627</x:v>
      </x:c>
      <x:c r="E30" s="38" t="n">
        <x:v>1500</x:v>
      </x:c>
      <x:c r="F30" s="28" t="str">
        <x:v>عقد العميل على مركبة أخرى</x:v>
      </x:c>
      <x:c r="G30" s="28" t="str"/>
      <x:c r="H30" s="28" t="str"/>
      <x:c r="I30" s="28" t="str"/>
      <x:c r="J30" s="28" t="str">
        <x:v>LTO202410 / 17216 / إجراء قانوني</x:v>
      </x:c>
      <x:c r="K30" s="37" t="n">
        <x:v>0</x:v>
      </x:c>
      <x:c r="L30" s="37" t="n">
        <x:v>0</x:v>
      </x:c>
      <x:c r="M30" s="37" t="n">
        <x:v>0</x:v>
      </x:c>
      <x:c r="N30" s="37" t="n">
        <x:v>0</x:v>
      </x:c>
      <x:c r="O30" s="28" t="str">
        <x:v>لا</x:v>
      </x:c>
      <x:c r="P30" s="28" t="str"/>
      <x:c r="Q30" s="28" t="str">
        <x:v>مراجعة اللوحتين والملف الموقّع؛ فصل الحيازة الخاطئة ثم إنشاء/ربط العقد على لوحة أغسطس دون حذف المطالبة القديمة.</x:v>
      </x:c>
      <x:c r="R30" s="28" t="str">
        <x:v>يحتاج اعتماد</x:v>
      </x:c>
      <x:c r="S30" s="28" t="str"/>
      <x:c r="T30" s="28" t="str">
        <x:v>800</x:v>
      </x:c>
      <x:c r="U30" s="28" t="str">
        <x:v>33767961</x:v>
      </x:c>
      <x:c r="V30" s="28" t="str">
        <x:v>عميل واحد</x:v>
      </x:c>
    </x:row>
    <x:row r="31" ht="38" customHeight="1">
      <x:c r="A31" s="28" t="str">
        <x:v>5898</x:v>
      </x:c>
      <x:c r="B31" s="28" t="str">
        <x:v>محمد سرالختم</x:v>
      </x:c>
      <x:c r="C31" s="28" t="str">
        <x:v>محمد سرالختم</x:v>
      </x:c>
      <x:c r="D31" s="85" t="n">
        <x:v>45874</x:v>
      </x:c>
      <x:c r="E31" s="38" t="n">
        <x:v>1500</x:v>
      </x:c>
      <x:c r="F31" s="28" t="str">
        <x:v>مطابق</x:v>
      </x:c>
      <x:c r="G31" s="28" t="str">
        <x:v>C-ALF-0039</x:v>
      </x:c>
      <x:c r="H31" s="28" t="str">
        <x:v>محمد سرالختم</x:v>
      </x:c>
      <x:c r="I31" s="28" t="str">
        <x:v>إجراء قانوني</x:v>
      </x:c>
      <x:c r="J31" s="28" t="str"/>
      <x:c r="K31" s="37" t="n">
        <x:v>10832</x:v>
      </x:c>
      <x:c r="L31" s="37" t="n">
        <x:v>27000</x:v>
      </x:c>
      <x:c r="M31" s="37" t="n">
        <x:v>27100</x:v>
      </x:c>
      <x:c r="N31" s="37" t="n">
        <x:v>66700</x:v>
      </x:c>
      <x:c r="O31" s="28" t="str">
        <x:v>لا</x:v>
      </x:c>
      <x:c r="P31" s="28" t="str">
        <x:v>لا</x:v>
      </x:c>
      <x:c r="Q31" s="28" t="str">
        <x:v>إبقاء العقد قانونيًا مع توثيق استمرار/انتهاء حيازة المركبة ومراجعة المطالبة الدورية.</x:v>
      </x:c>
      <x:c r="R31" s="28" t="str">
        <x:v>متوسط</x:v>
      </x:c>
      <x:c r="S31" s="28" t="str"/>
      <x:c r="T31" s="28" t="str"/>
      <x:c r="U31" s="28" t="str">
        <x:v>70371179</x:v>
      </x:c>
      <x:c r="V31" s="28" t="str">
        <x:v>عميل واحد</x:v>
      </x:c>
    </x:row>
    <x:row r="32" ht="38" customHeight="1">
      <x:c r="A32" s="28" t="str">
        <x:v>5899</x:v>
      </x:c>
      <x:c r="B32" s="28" t="str">
        <x:v>احمد السيد بابكر</x:v>
      </x:c>
      <x:c r="C32" s="28" t="str">
        <x:v>احمد السيد بابكر</x:v>
      </x:c>
      <x:c r="D32" s="85"/>
      <x:c r="E32" s="38" t="n">
        <x:v>2000</x:v>
      </x:c>
      <x:c r="F32" s="28" t="str">
        <x:v>مطابق</x:v>
      </x:c>
      <x:c r="G32" s="28" t="str">
        <x:v>LTO2024156</x:v>
      </x:c>
      <x:c r="H32" s="28" t="str">
        <x:v>احمد السيد بابكر</x:v>
      </x:c>
      <x:c r="I32" s="28" t="str">
        <x:v>ساري</x:v>
      </x:c>
      <x:c r="J32" s="28" t="str"/>
      <x:c r="K32" s="37" t="n">
        <x:v>0</x:v>
      </x:c>
      <x:c r="L32" s="37" t="n">
        <x:v>18000</x:v>
      </x:c>
      <x:c r="M32" s="37" t="n">
        <x:v>3000</x:v>
      </x:c>
      <x:c r="N32" s="37" t="n">
        <x:v>0</x:v>
      </x:c>
      <x:c r="O32" s="28" t="str">
        <x:v>لا</x:v>
      </x:c>
      <x:c r="P32" s="28" t="str">
        <x:v>لا</x:v>
      </x:c>
      <x:c r="Q32" s="28" t="str">
        <x:v>إبقاء العقد ساريًا؛ لا تعديل على الهوية أو المركبة.</x:v>
      </x:c>
      <x:c r="R32" s="28" t="str">
        <x:v>متوسط</x:v>
      </x:c>
      <x:c r="S32" s="28" t="str"/>
      <x:c r="T32" s="28" t="str">
        <x:v>لا يوجد بداية ونهاية في ملف الورد</x:v>
      </x:c>
      <x:c r="U32" s="28" t="str">
        <x:v>33081277</x:v>
      </x:c>
      <x:c r="V32" s="28" t="str">
        <x:v>عميل واحد</x:v>
      </x:c>
    </x:row>
    <x:row r="33" ht="38" customHeight="1">
      <x:c r="A33" s="28" t="str">
        <x:v>5900</x:v>
      </x:c>
      <x:c r="B33" s="28" t="str">
        <x:v>محمد عزيز محسن جلالي</x:v>
      </x:c>
      <x:c r="C33" s="28" t="str">
        <x:v>محمد عزيز محسن جلالي</x:v>
      </x:c>
      <x:c r="D33" s="85" t="n">
        <x:v>46091</x:v>
      </x:c>
      <x:c r="E33" s="38" t="n">
        <x:v>1100</x:v>
      </x:c>
      <x:c r="F33" s="28" t="str">
        <x:v>مطابق مع تعارض موازٍ</x:v>
      </x:c>
      <x:c r="G33" s="28" t="str">
        <x:v>C-ALF-0041، HIST-XLS-T77-5900</x:v>
      </x:c>
      <x:c r="H33" s="28" t="str">
        <x:v>فخري الدين عثمان، محمد عزيز محسن جلالي</x:v>
      </x:c>
      <x:c r="I33" s="28" t="str">
        <x:v>إجراء قانوني</x:v>
      </x:c>
      <x:c r="J33" s="28" t="str"/>
      <x:c r="K33" s="37" t="n">
        <x:v>800</x:v>
      </x:c>
      <x:c r="L33" s="37" t="n">
        <x:v>24000</x:v>
      </x:c>
      <x:c r="M33" s="37" t="n">
        <x:v>1900</x:v>
      </x:c>
      <x:c r="N33" s="37" t="n">
        <x:v>3800</x:v>
      </x:c>
      <x:c r="O33" s="28" t="str">
        <x:v>لا</x:v>
      </x:c>
      <x:c r="P33" s="28" t="str">
        <x:v>لا</x:v>
      </x:c>
      <x:c r="Q33" s="28" t="str">
        <x:v>إبقاء العقد المطابق، وإغلاق عهدة العقد الموازي عند انتقال المركبة مع بقاء المطالبة القانونية مستقلة.</x:v>
      </x:c>
      <x:c r="R33" s="28" t="str">
        <x:v>يحتاج اعتماد</x:v>
      </x:c>
      <x:c r="S33" s="28" t="str"/>
      <x:c r="T33" s="28" t="str">
        <x:v>دفع مسبق</x:v>
      </x:c>
      <x:c r="U33" s="28" t="str">
        <x:v>50328969</x:v>
      </x:c>
      <x:c r="V33" s="28" t="str">
        <x:v>عميل واحد</x:v>
      </x:c>
    </x:row>
    <x:row r="34" ht="38" customHeight="1">
      <x:c r="A34" s="28" t="str">
        <x:v>5901</x:v>
      </x:c>
      <x:c r="B34" s="28" t="str">
        <x:v>حسن بن ساسی ظاهری</x:v>
      </x:c>
      <x:c r="C34" s="28" t="str">
        <x:v>حسن بن ساسی ظاهری</x:v>
      </x:c>
      <x:c r="D34" s="85" t="n">
        <x:v>45283</x:v>
      </x:c>
      <x:c r="E34" s="38" t="n">
        <x:v>2100</x:v>
      </x:c>
      <x:c r="F34" s="28" t="str">
        <x:v>مطابق</x:v>
      </x:c>
      <x:c r="G34" s="28" t="str">
        <x:v>LTO20244</x:v>
      </x:c>
      <x:c r="H34" s="28" t="str">
        <x:v>حسن بن ساسی ظاهری</x:v>
      </x:c>
      <x:c r="I34" s="28" t="str">
        <x:v>ساري</x:v>
      </x:c>
      <x:c r="J34" s="28" t="str"/>
      <x:c r="K34" s="37" t="n">
        <x:v>0</x:v>
      </x:c>
      <x:c r="L34" s="37" t="n">
        <x:v>0</x:v>
      </x:c>
      <x:c r="M34" s="37" t="n">
        <x:v>5400</x:v>
      </x:c>
      <x:c r="N34" s="37" t="n">
        <x:v>0</x:v>
      </x:c>
      <x:c r="O34" s="28" t="str">
        <x:v>لا</x:v>
      </x:c>
      <x:c r="P34" s="28" t="str">
        <x:v>لا</x:v>
      </x:c>
      <x:c r="Q34" s="28" t="str">
        <x:v>إبقاء العقد ساريًا؛ لا تعديل على الهوية أو المركبة.</x:v>
      </x:c>
      <x:c r="R34" s="28" t="str">
        <x:v>متوسط</x:v>
      </x:c>
      <x:c r="S34" s="28" t="str"/>
      <x:c r="T34" s="28" t="str">
        <x:v>لا يوجد نهاية في ملف الورد</x:v>
      </x:c>
      <x:c r="U34" s="28" t="str">
        <x:v>31115657</x:v>
      </x:c>
      <x:c r="V34" s="28" t="str">
        <x:v>عميل واحد</x:v>
      </x:c>
    </x:row>
    <x:row r="35" ht="38" customHeight="1">
      <x:c r="A35" s="28" t="str">
        <x:v>7036</x:v>
      </x:c>
      <x:c r="B35" s="28" t="str">
        <x:v>عصام ابراهيم عبد الله</x:v>
      </x:c>
      <x:c r="C35" s="28" t="str">
        <x:v>عصام ابراهيم عبد الله</x:v>
      </x:c>
      <x:c r="D35" s="85" t="n">
        <x:v>45638</x:v>
      </x:c>
      <x:c r="E35" s="38" t="n">
        <x:v>1550</x:v>
      </x:c>
      <x:c r="F35" s="28" t="str">
        <x:v>مطابق</x:v>
      </x:c>
      <x:c r="G35" s="28" t="str">
        <x:v>LTO2024341</x:v>
      </x:c>
      <x:c r="H35" s="28" t="str">
        <x:v>عصام ابراهيم عبد الله</x:v>
      </x:c>
      <x:c r="I35" s="28" t="str">
        <x:v>ساري</x:v>
      </x:c>
      <x:c r="J35" s="28" t="str"/>
      <x:c r="K35" s="37" t="n">
        <x:v>0</x:v>
      </x:c>
      <x:c r="L35" s="37" t="n">
        <x:v>24800</x:v>
      </x:c>
      <x:c r="M35" s="37" t="n">
        <x:v>1100</x:v>
      </x:c>
      <x:c r="N35" s="37" t="n">
        <x:v>0</x:v>
      </x:c>
      <x:c r="O35" s="28" t="str">
        <x:v>لا</x:v>
      </x:c>
      <x:c r="P35" s="28" t="str">
        <x:v>لا</x:v>
      </x:c>
      <x:c r="Q35" s="28" t="str">
        <x:v>إبقاء العقد ساريًا؛ لا تعديل على الهوية أو المركبة.</x:v>
      </x:c>
      <x:c r="R35" s="28" t="str">
        <x:v>متوسط</x:v>
      </x:c>
      <x:c r="S35" s="28" t="str"/>
      <x:c r="T35" s="28" t="str">
        <x:v>تحويل</x:v>
      </x:c>
      <x:c r="U35" s="28" t="str">
        <x:v>30777645</x:v>
      </x:c>
      <x:c r="V35" s="28" t="str">
        <x:v>عميل واحد</x:v>
      </x:c>
    </x:row>
    <x:row r="36" ht="38" customHeight="1">
      <x:c r="A36" s="28" t="str">
        <x:v>7038</x:v>
      </x:c>
      <x:c r="B36" s="28" t="str">
        <x:v>مهدي محمد القاطري</x:v>
      </x:c>
      <x:c r="C36" s="28" t="str">
        <x:v>مهدي محمد القاطري</x:v>
      </x:c>
      <x:c r="D36" s="85" t="n">
        <x:v>46023</x:v>
      </x:c>
      <x:c r="E36" s="38" t="n">
        <x:v>1600</x:v>
      </x:c>
      <x:c r="F36" s="28" t="str">
        <x:v>مطابق مع تعارض موازٍ</x:v>
      </x:c>
      <x:c r="G36" s="28" t="str">
        <x:v>C-ALF-0048، CNT-26-7038</x:v>
      </x:c>
      <x:c r="H36" s="28" t="str">
        <x:v>ثامر محمد السيد، مهدي محمد القاطري</x:v>
      </x:c>
      <x:c r="I36" s="28" t="str">
        <x:v>إجراء قانوني، ساري</x:v>
      </x:c>
      <x:c r="J36" s="28" t="str"/>
      <x:c r="K36" s="37" t="n">
        <x:v>4900</x:v>
      </x:c>
      <x:c r="L36" s="37" t="n">
        <x:v>35200</x:v>
      </x:c>
      <x:c r="M36" s="37" t="n">
        <x:v>0</x:v>
      </x:c>
      <x:c r="N36" s="37" t="n">
        <x:v>0</x:v>
      </x:c>
      <x:c r="O36" s="28" t="str">
        <x:v>لا</x:v>
      </x:c>
      <x:c r="P36" s="28" t="str">
        <x:v>لا</x:v>
      </x:c>
      <x:c r="Q36" s="28" t="str">
        <x:v>إبقاء العقد المطابق، وإغلاق عهدة العقد الموازي عند انتقال المركبة مع بقاء المطالبة القانونية مستقلة.</x:v>
      </x:c>
      <x:c r="R36" s="28" t="str">
        <x:v>يحتاج اعتماد</x:v>
      </x:c>
      <x:c r="S36" s="28" t="str"/>
      <x:c r="T36" s="28" t="str">
        <x:v>1600</x:v>
      </x:c>
      <x:c r="U36" s="28" t="str">
        <x:v>51332508</x:v>
      </x:c>
      <x:c r="V36" s="28" t="str">
        <x:v>عميل واحد</x:v>
      </x:c>
    </x:row>
    <x:row r="37" ht="38" customHeight="1">
      <x:c r="A37" s="28" t="str">
        <x:v>7039</x:v>
      </x:c>
      <x:c r="B37" s="28" t="str">
        <x:v>محسن الفرحاني</x:v>
      </x:c>
      <x:c r="C37" s="28" t="str">
        <x:v>غير موجود في النظام</x:v>
      </x:c>
      <x:c r="D37" s="85" t="n">
        <x:v>45717</x:v>
      </x:c>
      <x:c r="E37" s="38" t="n">
        <x:v>1500</x:v>
      </x:c>
      <x:c r="F37" s="28" t="str">
        <x:v>لا يوجد عقد حي</x:v>
      </x:c>
      <x:c r="G37" s="28" t="str"/>
      <x:c r="H37" s="28" t="str"/>
      <x:c r="I37" s="28" t="str"/>
      <x:c r="J37" s="28" t="str"/>
      <x:c r="K37" s="37" t="n">
        <x:v>0</x:v>
      </x:c>
      <x:c r="L37" s="37" t="n">
        <x:v>0</x:v>
      </x:c>
      <x:c r="M37" s="37" t="n">
        <x:v>0</x:v>
      </x:c>
      <x:c r="N37" s="37" t="n">
        <x:v>0</x:v>
      </x:c>
      <x:c r="O37" s="28" t="str">
        <x:v>لا</x:v>
      </x:c>
      <x:c r="P37" s="28" t="str"/>
      <x:c r="Q37" s="28" t="str">
        <x:v>استكمال هوية وملف موقّع وتاريخ التسليم، ثم إنشاء عقد جديد؛ لا يُنشأ عقد قانوني أو مطالبة آليًا من الاسم وحده.</x:v>
      </x:c>
      <x:c r="R37" s="28" t="str">
        <x:v>يحتاج اعتماد</x:v>
      </x:c>
      <x:c r="S37" s="28" t="str"/>
      <x:c r="T37" s="28" t="str">
        <x:v>500</x:v>
      </x:c>
      <x:c r="U37" s="28" t="str">
        <x:v>60045111</x:v>
      </x:c>
      <x:c r="V37" s="28" t="str">
        <x:v>غير موجود</x:v>
      </x:c>
    </x:row>
    <x:row r="38" ht="38" customHeight="1">
      <x:c r="A38" s="28" t="str">
        <x:v>7041</x:v>
      </x:c>
      <x:c r="B38" s="28" t="str">
        <x:v>رمزي الهاشمي بعزاوي</x:v>
      </x:c>
      <x:c r="C38" s="28" t="str">
        <x:v>رمزي الهاشمي بعزاوي</x:v>
      </x:c>
      <x:c r="D38" s="85" t="n">
        <x:v>45940</x:v>
      </x:c>
      <x:c r="E38" s="38" t="n">
        <x:v>1600</x:v>
      </x:c>
      <x:c r="F38" s="28" t="str">
        <x:v>مطابق مع تعارض موازٍ</x:v>
      </x:c>
      <x:c r="G38" s="28" t="str">
        <x:v>LTO2024136، C-ALF-0050</x:v>
      </x:c>
      <x:c r="H38" s="28" t="str">
        <x:v>علاء الدين علي دباش، رمزي الهاشمي بعزاوي</x:v>
      </x:c>
      <x:c r="I38" s="28" t="str">
        <x:v>إجراء قانوني، ساري</x:v>
      </x:c>
      <x:c r="J38" s="28" t="str"/>
      <x:c r="K38" s="37" t="n">
        <x:v>7800</x:v>
      </x:c>
      <x:c r="L38" s="37" t="n">
        <x:v>6400</x:v>
      </x:c>
      <x:c r="M38" s="37" t="n">
        <x:v>2000</x:v>
      </x:c>
      <x:c r="N38" s="37" t="n">
        <x:v>0</x:v>
      </x:c>
      <x:c r="O38" s="28" t="str">
        <x:v>نعم</x:v>
      </x:c>
      <x:c r="P38" s="28" t="str">
        <x:v>لا</x:v>
      </x:c>
      <x:c r="Q38" s="28" t="str">
        <x:v>إبقاء العقد المطابق، وإغلاق عهدة العقد الموازي عند انتقال المركبة مع بقاء المطالبة القانونية مستقلة.</x:v>
      </x:c>
      <x:c r="R38" s="28" t="str">
        <x:v>يحتاج اعتماد</x:v>
      </x:c>
      <x:c r="S38" s="28" t="str"/>
      <x:c r="T38" s="28" t="str"/>
      <x:c r="U38" s="28" t="str">
        <x:v>39913719</x:v>
      </x:c>
      <x:c r="V38" s="28" t="str">
        <x:v>عميل واحد</x:v>
      </x:c>
    </x:row>
    <x:row r="39" ht="38" customHeight="1">
      <x:c r="A39" s="28" t="str">
        <x:v>7043</x:v>
      </x:c>
      <x:c r="B39" s="28" t="str">
        <x:v>حمد البشير يانس</x:v>
      </x:c>
      <x:c r="C39" s="28" t="str">
        <x:v>حمد البشير يانس</x:v>
      </x:c>
      <x:c r="D39" s="85" t="n">
        <x:v>45525</x:v>
      </x:c>
      <x:c r="E39" s="38" t="n">
        <x:v>1750</x:v>
      </x:c>
      <x:c r="F39" s="28" t="str">
        <x:v>مطابق</x:v>
      </x:c>
      <x:c r="G39" s="28" t="str">
        <x:v>C-ALF-0051</x:v>
      </x:c>
      <x:c r="H39" s="28" t="str">
        <x:v>حمد البشير يانس</x:v>
      </x:c>
      <x:c r="I39" s="28" t="str">
        <x:v>ساري</x:v>
      </x:c>
      <x:c r="J39" s="28" t="str"/>
      <x:c r="K39" s="37" t="n">
        <x:v>0</x:v>
      </x:c>
      <x:c r="L39" s="37" t="n">
        <x:v>7000</x:v>
      </x:c>
      <x:c r="M39" s="37" t="n">
        <x:v>2500</x:v>
      </x:c>
      <x:c r="N39" s="37" t="n">
        <x:v>0</x:v>
      </x:c>
      <x:c r="O39" s="28" t="str">
        <x:v>لا</x:v>
      </x:c>
      <x:c r="P39" s="28" t="str">
        <x:v>لا</x:v>
      </x:c>
      <x:c r="Q39" s="28" t="str">
        <x:v>إبقاء العقد ساريًا؛ لا تعديل على الهوية أو المركبة.</x:v>
      </x:c>
      <x:c r="R39" s="28" t="str">
        <x:v>متوسط</x:v>
      </x:c>
      <x:c r="S39" s="28" t="str"/>
      <x:c r="T39" s="28" t="str">
        <x:v>1750</x:v>
      </x:c>
      <x:c r="U39" s="28" t="str">
        <x:v>55260218</x:v>
      </x:c>
      <x:c r="V39" s="28" t="str">
        <x:v>عميل واحد</x:v>
      </x:c>
    </x:row>
    <x:row r="40" ht="38" customHeight="1">
      <x:c r="A40" s="28" t="str">
        <x:v>7053</x:v>
      </x:c>
      <x:c r="B40" s="28" t="str">
        <x:v>مهدي أسامة المهدي حامد</x:v>
      </x:c>
      <x:c r="C40" s="28" t="str">
        <x:v>مهدي أسامة المهدي حامد</x:v>
      </x:c>
      <x:c r="D40" s="85" t="n">
        <x:v>45503</x:v>
      </x:c>
      <x:c r="E40" s="38" t="n">
        <x:v>1800</x:v>
      </x:c>
      <x:c r="F40" s="28" t="str">
        <x:v>مطابق</x:v>
      </x:c>
      <x:c r="G40" s="28" t="str">
        <x:v>LTO2024263</x:v>
      </x:c>
      <x:c r="H40" s="28" t="str">
        <x:v>مهدي أسامة المهدي حامد</x:v>
      </x:c>
      <x:c r="I40" s="28" t="str">
        <x:v>إجراء قانوني</x:v>
      </x:c>
      <x:c r="J40" s="28" t="str"/>
      <x:c r="K40" s="37" t="n">
        <x:v>10400</x:v>
      </x:c>
      <x:c r="L40" s="37" t="n">
        <x:v>19800</x:v>
      </x:c>
      <x:c r="M40" s="37" t="n">
        <x:v>0</x:v>
      </x:c>
      <x:c r="N40" s="37" t="n">
        <x:v>10400</x:v>
      </x:c>
      <x:c r="O40" s="28" t="str">
        <x:v>نعم</x:v>
      </x:c>
      <x:c r="P40" s="28" t="str">
        <x:v>لا</x:v>
      </x:c>
      <x:c r="Q40" s="28" t="str">
        <x:v>إبقاء العقد قانونيًا مع توثيق استمرار/انتهاء حيازة المركبة ومراجعة المطالبة الدورية.</x:v>
      </x:c>
      <x:c r="R40" s="28" t="str">
        <x:v>عالٍ</x:v>
      </x:c>
      <x:c r="S40" s="28" t="str"/>
      <x:c r="T40" s="28" t="str"/>
      <x:c r="U40" s="28" t="str">
        <x:v>30138501</x:v>
      </x:c>
      <x:c r="V40" s="28" t="str">
        <x:v>عميل واحد</x:v>
      </x:c>
    </x:row>
    <x:row r="41" ht="38" customHeight="1">
      <x:c r="A41" s="28" t="str">
        <x:v>7054</x:v>
      </x:c>
      <x:c r="B41" s="28" t="str">
        <x:v>عمر عبد المولى مبروكي</x:v>
      </x:c>
      <x:c r="C41" s="28" t="str">
        <x:v>عمر عبد المولى مبروكي</x:v>
      </x:c>
      <x:c r="D41" s="85" t="n">
        <x:v>46179</x:v>
      </x:c>
      <x:c r="E41" s="38" t="n">
        <x:v>1500</x:v>
      </x:c>
      <x:c r="F41" s="28" t="str">
        <x:v>عقد باسم عميل آخر</x:v>
      </x:c>
      <x:c r="G41" s="28" t="str">
        <x:v>C-ALF-0053</x:v>
      </x:c>
      <x:c r="H41" s="28" t="str">
        <x:v>محمد جاسم الصالح</x:v>
      </x:c>
      <x:c r="I41" s="28" t="str">
        <x:v>إجراء قانوني</x:v>
      </x:c>
      <x:c r="J41" s="28" t="str"/>
      <x:c r="K41" s="37" t="n">
        <x:v>21450</x:v>
      </x:c>
      <x:c r="L41" s="37" t="n">
        <x:v>6600</x:v>
      </x:c>
      <x:c r="M41" s="37" t="n">
        <x:v>8200</x:v>
      </x:c>
      <x:c r="N41" s="37" t="n">
        <x:v>35700</x:v>
      </x:c>
      <x:c r="O41" s="28" t="str">
        <x:v>نعم</x:v>
      </x:c>
      <x:c r="P41" s="28" t="str">
        <x:v>لا</x:v>
      </x:c>
      <x:c r="Q41" s="28" t="str">
        <x:v>إنهاء عهدة العقد السابق عند 2026-06-06، احتساب المتأخر حتى القطع، ثم إنشاء/ربط عقد المستأجر الحالي بعد اعتماد الهوية.</x:v>
      </x:c>
      <x:c r="R41" s="28" t="str">
        <x:v>يحتاج اعتماد</x:v>
      </x:c>
      <x:c r="S41" s="28" t="str"/>
      <x:c r="T41" s="28" t="str">
        <x:v>لا يوجد نهاية في ملف الورد</x:v>
      </x:c>
      <x:c r="U41" s="28" t="str">
        <x:v>31598966</x:v>
      </x:c>
      <x:c r="V41" s="28" t="str">
        <x:v>عميل واحد</x:v>
      </x:c>
    </x:row>
    <x:row r="42" ht="38" customHeight="1">
      <x:c r="A42" s="28" t="str">
        <x:v>7056</x:v>
      </x:c>
      <x:c r="B42" s="28" t="str">
        <x:v>مجدي محمد عباس</x:v>
      </x:c>
      <x:c r="C42" s="28" t="str">
        <x:v>مجدي محمد عباس</x:v>
      </x:c>
      <x:c r="D42" s="85" t="n">
        <x:v>45778</x:v>
      </x:c>
      <x:c r="E42" s="38" t="n">
        <x:v>1650</x:v>
      </x:c>
      <x:c r="F42" s="28" t="str">
        <x:v>مطابق</x:v>
      </x:c>
      <x:c r="G42" s="28" t="str">
        <x:v>C-ALF-0054</x:v>
      </x:c>
      <x:c r="H42" s="28" t="str">
        <x:v>مجدي محمد عباس</x:v>
      </x:c>
      <x:c r="I42" s="28" t="str">
        <x:v>ساري</x:v>
      </x:c>
      <x:c r="J42" s="28" t="str"/>
      <x:c r="K42" s="37" t="n">
        <x:v>18150</x:v>
      </x:c>
      <x:c r="L42" s="37" t="n">
        <x:v>6600</x:v>
      </x:c>
      <x:c r="M42" s="37" t="n">
        <x:v>5000</x:v>
      </x:c>
      <x:c r="N42" s="37" t="n">
        <x:v>0</x:v>
      </x:c>
      <x:c r="O42" s="28" t="str">
        <x:v>لا</x:v>
      </x:c>
      <x:c r="P42" s="28" t="str">
        <x:v>لا</x:v>
      </x:c>
      <x:c r="Q42" s="28" t="str">
        <x:v>إبقاء العقد ساريًا؛ لا تعديل على الهوية أو المركبة.</x:v>
      </x:c>
      <x:c r="R42" s="28" t="str">
        <x:v>متوسط</x:v>
      </x:c>
      <x:c r="S42" s="28" t="str"/>
      <x:c r="T42" s="28" t="str">
        <x:v>900</x:v>
      </x:c>
      <x:c r="U42" s="28" t="str">
        <x:v>33557425</x:v>
      </x:c>
      <x:c r="V42" s="28" t="str">
        <x:v>عميل واحد</x:v>
      </x:c>
    </x:row>
    <x:row r="43" ht="38" customHeight="1">
      <x:c r="A43" s="28" t="str">
        <x:v>7058</x:v>
      </x:c>
      <x:c r="B43" s="28" t="str">
        <x:v>محمد فوأد شوشان</x:v>
      </x:c>
      <x:c r="C43" s="28" t="str">
        <x:v>محمد فوأد شوشان</x:v>
      </x:c>
      <x:c r="D43" s="85" t="n">
        <x:v>45560</x:v>
      </x:c>
      <x:c r="E43" s="38" t="n">
        <x:v>1600</x:v>
      </x:c>
      <x:c r="F43" s="28" t="str">
        <x:v>لا يوجد عقد حي</x:v>
      </x:c>
      <x:c r="G43" s="28" t="str"/>
      <x:c r="H43" s="28" t="str"/>
      <x:c r="I43" s="28" t="str"/>
      <x:c r="J43" s="28" t="str"/>
      <x:c r="K43" s="37" t="n">
        <x:v>0</x:v>
      </x:c>
      <x:c r="L43" s="37" t="n">
        <x:v>0</x:v>
      </x:c>
      <x:c r="M43" s="37" t="n">
        <x:v>0</x:v>
      </x:c>
      <x:c r="N43" s="37" t="n">
        <x:v>0</x:v>
      </x:c>
      <x:c r="O43" s="28" t="str">
        <x:v>لا</x:v>
      </x:c>
      <x:c r="P43" s="28" t="str"/>
      <x:c r="Q43" s="28" t="str">
        <x:v>استكمال هوية وملف موقّع وتاريخ التسليم، ثم إنشاء عقد جديد؛ لا يُنشأ عقد قانوني أو مطالبة آليًا من الاسم وحده.</x:v>
      </x:c>
      <x:c r="R43" s="28" t="str">
        <x:v>يحتاج اعتماد</x:v>
      </x:c>
      <x:c r="S43" s="28" t="str"/>
      <x:c r="T43" s="28" t="str"/>
      <x:c r="U43" s="28" t="str">
        <x:v>55146823</x:v>
      </x:c>
      <x:c r="V43" s="28" t="str">
        <x:v>عميل واحد</x:v>
      </x:c>
    </x:row>
    <x:row r="44" ht="38" customHeight="1">
      <x:c r="A44" s="28" t="str">
        <x:v>7059</x:v>
      </x:c>
      <x:c r="B44" s="28" t="str">
        <x:v>عمر محمد الجمعي مرائحي</x:v>
      </x:c>
      <x:c r="C44" s="28" t="str">
        <x:v>عمر محمد الجمعي مرائحي</x:v>
      </x:c>
      <x:c r="D44" s="85" t="n">
        <x:v>45672</x:v>
      </x:c>
      <x:c r="E44" s="38" t="n">
        <x:v>1500</x:v>
      </x:c>
      <x:c r="F44" s="28" t="str">
        <x:v>مطابق</x:v>
      </x:c>
      <x:c r="G44" s="28" t="str">
        <x:v>C-ALF-0056</x:v>
      </x:c>
      <x:c r="H44" s="28" t="str">
        <x:v>عمر محمد الجمعي مرائحي</x:v>
      </x:c>
      <x:c r="I44" s="28" t="str">
        <x:v>ساري</x:v>
      </x:c>
      <x:c r="J44" s="28" t="str"/>
      <x:c r="K44" s="37" t="n">
        <x:v>19600</x:v>
      </x:c>
      <x:c r="L44" s="37" t="n">
        <x:v>12000</x:v>
      </x:c>
      <x:c r="M44" s="37" t="n">
        <x:v>2600</x:v>
      </x:c>
      <x:c r="N44" s="37" t="n">
        <x:v>0</x:v>
      </x:c>
      <x:c r="O44" s="28" t="str">
        <x:v>نعم</x:v>
      </x:c>
      <x:c r="P44" s="28" t="str">
        <x:v>لا</x:v>
      </x:c>
      <x:c r="Q44" s="28" t="str">
        <x:v>إبقاء العقد ساريًا؛ لا تعديل على الهوية أو المركبة.</x:v>
      </x:c>
      <x:c r="R44" s="28" t="str">
        <x:v>عالٍ</x:v>
      </x:c>
      <x:c r="S44" s="28" t="str"/>
      <x:c r="T44" s="28" t="str"/>
      <x:c r="U44" s="28" t="str">
        <x:v>51203590</x:v>
      </x:c>
      <x:c r="V44" s="28" t="str">
        <x:v>عميل واحد</x:v>
      </x:c>
    </x:row>
    <x:row r="45" ht="38" customHeight="1">
      <x:c r="A45" s="28" t="str">
        <x:v>7060</x:v>
      </x:c>
      <x:c r="B45" s="28" t="str">
        <x:v>بنور رقية</x:v>
      </x:c>
      <x:c r="C45" s="28" t="str">
        <x:v>بنور رقية</x:v>
      </x:c>
      <x:c r="D45" s="85" t="n">
        <x:v>45327</x:v>
      </x:c>
      <x:c r="E45" s="38" t="n">
        <x:v>0</x:v>
      </x:c>
      <x:c r="F45" s="28" t="str">
        <x:v>مطابق</x:v>
      </x:c>
      <x:c r="G45" s="28" t="str">
        <x:v>LTO2024141</x:v>
      </x:c>
      <x:c r="H45" s="28" t="str">
        <x:v>بنور رقية</x:v>
      </x:c>
      <x:c r="I45" s="28" t="str">
        <x:v>إجراء قانوني</x:v>
      </x:c>
      <x:c r="J45" s="28" t="str"/>
      <x:c r="K45" s="37" t="n">
        <x:v>38700</x:v>
      </x:c>
      <x:c r="L45" s="37" t="n">
        <x:v>32000</x:v>
      </x:c>
      <x:c r="M45" s="37" t="n">
        <x:v>9900</x:v>
      </x:c>
      <x:c r="N45" s="37" t="n">
        <x:v>61700</x:v>
      </x:c>
      <x:c r="O45" s="28" t="str">
        <x:v>لا</x:v>
      </x:c>
      <x:c r="P45" s="28" t="str">
        <x:v>لا</x:v>
      </x:c>
      <x:c r="Q45" s="28" t="str">
        <x:v>إبقاء العقد قانونيًا مع توثيق استمرار/انتهاء حيازة المركبة ومراجعة المطالبة الدورية.</x:v>
      </x:c>
      <x:c r="R45" s="28" t="str">
        <x:v>متوسط</x:v>
      </x:c>
      <x:c r="S45" s="28" t="str"/>
      <x:c r="T45" s="28" t="str">
        <x:v>- - | لا يوجد نهاية وقسط في ملف الورد</x:v>
      </x:c>
      <x:c r="U45" s="28" t="str"/>
      <x:c r="V45" s="28" t="str">
        <x:v>عميل واحد</x:v>
      </x:c>
    </x:row>
    <x:row r="46" ht="38" customHeight="1">
      <x:c r="A46" s="28" t="str">
        <x:v>7063</x:v>
      </x:c>
      <x:c r="B46" s="28" t="str">
        <x:v>مهند حمودة الظاهر</x:v>
      </x:c>
      <x:c r="C46" s="28" t="str">
        <x:v>مهند حمودة الظاهر</x:v>
      </x:c>
      <x:c r="D46" s="85" t="n">
        <x:v>45992</x:v>
      </x:c>
      <x:c r="E46" s="38" t="n">
        <x:v>1600</x:v>
      </x:c>
      <x:c r="F46" s="28" t="str">
        <x:v>لا يوجد عقد حي</x:v>
      </x:c>
      <x:c r="G46" s="28" t="str"/>
      <x:c r="H46" s="28" t="str"/>
      <x:c r="I46" s="28" t="str"/>
      <x:c r="J46" s="28" t="str"/>
      <x:c r="K46" s="37" t="n">
        <x:v>0</x:v>
      </x:c>
      <x:c r="L46" s="37" t="n">
        <x:v>0</x:v>
      </x:c>
      <x:c r="M46" s="37" t="n">
        <x:v>0</x:v>
      </x:c>
      <x:c r="N46" s="37" t="n">
        <x:v>0</x:v>
      </x:c>
      <x:c r="O46" s="28" t="str">
        <x:v>لا</x:v>
      </x:c>
      <x:c r="P46" s="28" t="str"/>
      <x:c r="Q46" s="28" t="str">
        <x:v>استكمال هوية وملف موقّع وتاريخ التسليم، ثم إنشاء عقد جديد؛ لا يُنشأ عقد قانوني أو مطالبة آليًا من الاسم وحده.</x:v>
      </x:c>
      <x:c r="R46" s="28" t="str">
        <x:v>يحتاج اعتماد</x:v>
      </x:c>
      <x:c r="S46" s="28" t="str"/>
      <x:c r="T46" s="28" t="str">
        <x:v>1600</x:v>
      </x:c>
      <x:c r="U46" s="28" t="str">
        <x:v>30623322</x:v>
      </x:c>
      <x:c r="V46" s="28" t="str">
        <x:v>عميل واحد</x:v>
      </x:c>
    </x:row>
    <x:row r="47" ht="38" customHeight="1">
      <x:c r="A47" s="28" t="str">
        <x:v>7066</x:v>
      </x:c>
      <x:c r="B47" s="28" t="str">
        <x:v>ايهاب ميرغني عوض الكريم عبد الله</x:v>
      </x:c>
      <x:c r="C47" s="28" t="str">
        <x:v>ايهاب ميرغني عوض الكريم عبد الله</x:v>
      </x:c>
      <x:c r="D47" s="85" t="n">
        <x:v>45320</x:v>
      </x:c>
      <x:c r="E47" s="38" t="n">
        <x:v>2550</x:v>
      </x:c>
      <x:c r="F47" s="28" t="str">
        <x:v>عقد باسم عميل آخر</x:v>
      </x:c>
      <x:c r="G47" s="28" t="str">
        <x:v>C-ALF-0061</x:v>
      </x:c>
      <x:c r="H47" s="28" t="str">
        <x:v>عوض الكريم عبد المنعم علي سعيد احمد</x:v>
      </x:c>
      <x:c r="I47" s="28" t="str">
        <x:v>إجراء قانوني</x:v>
      </x:c>
      <x:c r="J47" s="28" t="str">
        <x:v>C-ALF-0008 / 185573 / إجراء قانوني</x:v>
      </x:c>
      <x:c r="K47" s="37" t="n">
        <x:v>35975</x:v>
      </x:c>
      <x:c r="L47" s="37" t="n">
        <x:v>10200</x:v>
      </x:c>
      <x:c r="M47" s="37" t="n">
        <x:v>24700</x:v>
      </x:c>
      <x:c r="N47" s="37" t="n">
        <x:v>31186.5</x:v>
      </x:c>
      <x:c r="O47" s="28" t="str">
        <x:v>لا</x:v>
      </x:c>
      <x:c r="P47" s="28" t="str">
        <x:v>لا</x:v>
      </x:c>
      <x:c r="Q47" s="28" t="str">
        <x:v>إنهاء عهدة العقد السابق عند 2024-01-29، احتساب المتأخر حتى القطع، ثم إنشاء/ربط عقد المستأجر الحالي بعد اعتماد الهوية.</x:v>
      </x:c>
      <x:c r="R47" s="28" t="str">
        <x:v>يحتاج اعتماد</x:v>
      </x:c>
      <x:c r="S47" s="28" t="str"/>
      <x:c r="T47" s="28" t="str">
        <x:v>حجز 52 | لا يوجد نهاية في ملف الورد</x:v>
      </x:c>
      <x:c r="U47" s="28" t="str">
        <x:v>70952447</x:v>
      </x:c>
      <x:c r="V47" s="28" t="str">
        <x:v>عميل واحد</x:v>
      </x:c>
    </x:row>
    <x:row r="48" ht="38" customHeight="1">
      <x:c r="A48" s="28" t="str">
        <x:v>7068</x:v>
      </x:c>
      <x:c r="B48" s="28" t="str">
        <x:v>ياسر ربيع محمد سليمان</x:v>
      </x:c>
      <x:c r="C48" s="28" t="str">
        <x:v>ياسر ربيع محمد سليمان</x:v>
      </x:c>
      <x:c r="D48" s="85"/>
      <x:c r="E48" s="38" t="n">
        <x:v>2100</x:v>
      </x:c>
      <x:c r="F48" s="28" t="str">
        <x:v>مطابق</x:v>
      </x:c>
      <x:c r="G48" s="28" t="str">
        <x:v>LTO2024115</x:v>
      </x:c>
      <x:c r="H48" s="28" t="str">
        <x:v>ياسر ربيع محمد سليمان</x:v>
      </x:c>
      <x:c r="I48" s="28" t="str">
        <x:v>ساري</x:v>
      </x:c>
      <x:c r="J48" s="28" t="str"/>
      <x:c r="K48" s="37" t="n">
        <x:v>0</x:v>
      </x:c>
      <x:c r="L48" s="37" t="n">
        <x:v>27300</x:v>
      </x:c>
      <x:c r="M48" s="37" t="n">
        <x:v>12800</x:v>
      </x:c>
      <x:c r="N48" s="37" t="n">
        <x:v>0</x:v>
      </x:c>
      <x:c r="O48" s="28" t="str">
        <x:v>لا</x:v>
      </x:c>
      <x:c r="P48" s="28" t="str">
        <x:v>لا</x:v>
      </x:c>
      <x:c r="Q48" s="28" t="str">
        <x:v>إبقاء العقد ساريًا؛ لا تعديل على الهوية أو المركبة.</x:v>
      </x:c>
      <x:c r="R48" s="28" t="str">
        <x:v>متوسط</x:v>
      </x:c>
      <x:c r="S48" s="28" t="str"/>
      <x:c r="T48" s="28" t="str">
        <x:v>2000 | لا يوجد بداية ونهاية في ملف الورد</x:v>
      </x:c>
      <x:c r="U48" s="28" t="str">
        <x:v>77354490</x:v>
      </x:c>
      <x:c r="V48" s="28" t="str">
        <x:v>عميل واحد</x:v>
      </x:c>
    </x:row>
    <x:row r="49" ht="38" customHeight="1">
      <x:c r="A49" s="28" t="str">
        <x:v>7069</x:v>
      </x:c>
      <x:c r="B49" s="28" t="str">
        <x:v>عصام المزوغي</x:v>
      </x:c>
      <x:c r="C49" s="28" t="str">
        <x:v>عصام المزوغي</x:v>
      </x:c>
      <x:c r="D49" s="85" t="n">
        <x:v>45530</x:v>
      </x:c>
      <x:c r="E49" s="38" t="n">
        <x:v>1800</x:v>
      </x:c>
      <x:c r="F49" s="28" t="str">
        <x:v>مطابق</x:v>
      </x:c>
      <x:c r="G49" s="28" t="str">
        <x:v>LTO2024284</x:v>
      </x:c>
      <x:c r="H49" s="28" t="str">
        <x:v>عصام المزوغي</x:v>
      </x:c>
      <x:c r="I49" s="28" t="str">
        <x:v>إجراء قانوني</x:v>
      </x:c>
      <x:c r="J49" s="28" t="str"/>
      <x:c r="K49" s="37" t="n">
        <x:v>11200</x:v>
      </x:c>
      <x:c r="L49" s="37" t="n">
        <x:v>39600</x:v>
      </x:c>
      <x:c r="M49" s="37" t="n">
        <x:v>1000</x:v>
      </x:c>
      <x:c r="N49" s="37" t="n">
        <x:v>6600</x:v>
      </x:c>
      <x:c r="O49" s="28" t="str">
        <x:v>نعم</x:v>
      </x:c>
      <x:c r="P49" s="28" t="str">
        <x:v>لا</x:v>
      </x:c>
      <x:c r="Q49" s="28" t="str">
        <x:v>إبقاء العقد قانونيًا مع توثيق استمرار/انتهاء حيازة المركبة ومراجعة المطالبة الدورية.</x:v>
      </x:c>
      <x:c r="R49" s="28" t="str">
        <x:v>عالٍ</x:v>
      </x:c>
      <x:c r="S49" s="28" t="str"/>
      <x:c r="T49" s="28" t="str"/>
      <x:c r="U49" s="28" t="str">
        <x:v>74700503</x:v>
      </x:c>
      <x:c r="V49" s="28" t="str">
        <x:v>عميل واحد</x:v>
      </x:c>
    </x:row>
    <x:row r="50" ht="38" customHeight="1">
      <x:c r="A50" s="28" t="str">
        <x:v>7071</x:v>
      </x:c>
      <x:c r="B50" s="28" t="str">
        <x:v>حمزة زمكيل</x:v>
      </x:c>
      <x:c r="C50" s="28" t="str">
        <x:v>حمزة زمكيل</x:v>
      </x:c>
      <x:c r="D50" s="85" t="n">
        <x:v>45724</x:v>
      </x:c>
      <x:c r="E50" s="38" t="n">
        <x:v>1500</x:v>
      </x:c>
      <x:c r="F50" s="28" t="str">
        <x:v>لا يوجد عقد حي</x:v>
      </x:c>
      <x:c r="G50" s="28" t="str"/>
      <x:c r="H50" s="28" t="str"/>
      <x:c r="I50" s="28" t="str"/>
      <x:c r="J50" s="28" t="str"/>
      <x:c r="K50" s="37" t="n">
        <x:v>0</x:v>
      </x:c>
      <x:c r="L50" s="37" t="n">
        <x:v>0</x:v>
      </x:c>
      <x:c r="M50" s="37" t="n">
        <x:v>0</x:v>
      </x:c>
      <x:c r="N50" s="37" t="n">
        <x:v>0</x:v>
      </x:c>
      <x:c r="O50" s="28" t="str">
        <x:v>لا</x:v>
      </x:c>
      <x:c r="P50" s="28" t="str"/>
      <x:c r="Q50" s="28" t="str">
        <x:v>استكمال هوية وملف موقّع وتاريخ التسليم، ثم إنشاء عقد جديد؛ لا يُنشأ عقد قانوني أو مطالبة آليًا من الاسم وحده.</x:v>
      </x:c>
      <x:c r="R50" s="28" t="str">
        <x:v>يحتاج اعتماد</x:v>
      </x:c>
      <x:c r="S50" s="28" t="str"/>
      <x:c r="T50" s="28" t="str">
        <x:v>لا يوجد نهاية في ملف الورد</x:v>
      </x:c>
      <x:c r="U50" s="28" t="str"/>
      <x:c r="V50" s="28" t="str">
        <x:v>عميل واحد</x:v>
      </x:c>
    </x:row>
    <x:row r="51" ht="38" customHeight="1">
      <x:c r="A51" s="28" t="str">
        <x:v>7072</x:v>
      </x:c>
      <x:c r="B51" s="28" t="str">
        <x:v>يوسف العبيدي لخليل</x:v>
      </x:c>
      <x:c r="C51" s="28" t="str">
        <x:v>يوسف العبيدي لخليل</x:v>
      </x:c>
      <x:c r="D51" s="85" t="n">
        <x:v>45501</x:v>
      </x:c>
      <x:c r="E51" s="38" t="n">
        <x:v>1750</x:v>
      </x:c>
      <x:c r="F51" s="28" t="str">
        <x:v>مطابق</x:v>
      </x:c>
      <x:c r="G51" s="28" t="str">
        <x:v>LTO2024261</x:v>
      </x:c>
      <x:c r="H51" s="28" t="str">
        <x:v>يوسف العبيدي لخليل</x:v>
      </x:c>
      <x:c r="I51" s="28" t="str">
        <x:v>ساري</x:v>
      </x:c>
      <x:c r="J51" s="28" t="str"/>
      <x:c r="K51" s="37" t="n">
        <x:v>17650</x:v>
      </x:c>
      <x:c r="L51" s="37" t="n">
        <x:v>15750</x:v>
      </x:c>
      <x:c r="M51" s="37" t="n">
        <x:v>6700</x:v>
      </x:c>
      <x:c r="N51" s="37" t="n">
        <x:v>0</x:v>
      </x:c>
      <x:c r="O51" s="28" t="str">
        <x:v>لا</x:v>
      </x:c>
      <x:c r="P51" s="28" t="str">
        <x:v>لا</x:v>
      </x:c>
      <x:c r="Q51" s="28" t="str">
        <x:v>إبقاء العقد ساريًا؛ لا تعديل على الهوية أو المركبة.</x:v>
      </x:c>
      <x:c r="R51" s="28" t="str">
        <x:v>متوسط</x:v>
      </x:c>
      <x:c r="S51" s="28" t="str"/>
      <x:c r="T51" s="28" t="str"/>
      <x:c r="U51" s="28" t="str">
        <x:v>72119703</x:v>
      </x:c>
      <x:c r="V51" s="28" t="str">
        <x:v>عميل واحد</x:v>
      </x:c>
    </x:row>
    <x:row r="52" ht="38" customHeight="1">
      <x:c r="A52" s="28" t="str">
        <x:v>7074</x:v>
      </x:c>
      <x:c r="B52" s="28" t="str">
        <x:v>محمود جاسم الصالح</x:v>
      </x:c>
      <x:c r="C52" s="28" t="str">
        <x:v>محمود جاسم الصالح</x:v>
      </x:c>
      <x:c r="D52" s="85" t="n">
        <x:v>45610</x:v>
      </x:c>
      <x:c r="E52" s="38" t="n">
        <x:v>1600</x:v>
      </x:c>
      <x:c r="F52" s="28" t="str">
        <x:v>لا يوجد عقد حي</x:v>
      </x:c>
      <x:c r="G52" s="28" t="str"/>
      <x:c r="H52" s="28" t="str"/>
      <x:c r="I52" s="28" t="str"/>
      <x:c r="J52" s="28" t="str"/>
      <x:c r="K52" s="37" t="n">
        <x:v>0</x:v>
      </x:c>
      <x:c r="L52" s="37" t="n">
        <x:v>0</x:v>
      </x:c>
      <x:c r="M52" s="37" t="n">
        <x:v>0</x:v>
      </x:c>
      <x:c r="N52" s="37" t="n">
        <x:v>0</x:v>
      </x:c>
      <x:c r="O52" s="28" t="str">
        <x:v>لا</x:v>
      </x:c>
      <x:c r="P52" s="28" t="str"/>
      <x:c r="Q52" s="28" t="str">
        <x:v>استكمال هوية وملف موقّع وتاريخ التسليم، ثم إنشاء عقد جديد؛ لا يُنشأ عقد قانوني أو مطالبة آليًا من الاسم وحده.</x:v>
      </x:c>
      <x:c r="R52" s="28" t="str">
        <x:v>يحتاج اعتماد</x:v>
      </x:c>
      <x:c r="S52" s="28" t="str"/>
      <x:c r="T52" s="28" t="str">
        <x:v>لا يوجد نهاية في ملف الورد</x:v>
      </x:c>
      <x:c r="U52" s="28" t="str">
        <x:v>30531131</x:v>
      </x:c>
      <x:c r="V52" s="28" t="str">
        <x:v>سجلات متعددة</x:v>
      </x:c>
    </x:row>
    <x:row r="53" ht="38" customHeight="1">
      <x:c r="A53" s="28" t="str">
        <x:v>7075</x:v>
      </x:c>
      <x:c r="B53" s="28" t="str">
        <x:v>مطلوبالهيثم</x:v>
      </x:c>
      <x:c r="C53" s="28" t="str">
        <x:v>غير موجود في النظام</x:v>
      </x:c>
      <x:c r="D53" s="85" t="n">
        <x:v>45327</x:v>
      </x:c>
      <x:c r="E53" s="38" t="n">
        <x:v>1800</x:v>
      </x:c>
      <x:c r="F53" s="28" t="str">
        <x:v>مطابق</x:v>
      </x:c>
      <x:c r="G53" s="28" t="str">
        <x:v>LTO202418</x:v>
      </x:c>
      <x:c r="H53" s="28" t="str">
        <x:v>محمد الهيثم الطاهر الهادي محمد</x:v>
      </x:c>
      <x:c r="I53" s="28" t="str">
        <x:v>إجراء قانوني</x:v>
      </x:c>
      <x:c r="J53" s="28" t="str"/>
      <x:c r="K53" s="37" t="n">
        <x:v>33900</x:v>
      </x:c>
      <x:c r="L53" s="37" t="n">
        <x:v>10500</x:v>
      </x:c>
      <x:c r="M53" s="37" t="n">
        <x:v>6100</x:v>
      </x:c>
      <x:c r="N53" s="37" t="n">
        <x:v>125200</x:v>
      </x:c>
      <x:c r="O53" s="28" t="str">
        <x:v>لا</x:v>
      </x:c>
      <x:c r="P53" s="28" t="str">
        <x:v>لا</x:v>
      </x:c>
      <x:c r="Q53" s="28" t="str">
        <x:v>إبقاء العقد قانونيًا مع توثيق استمرار/انتهاء حيازة المركبة ومراجعة المطالبة الدورية.</x:v>
      </x:c>
      <x:c r="R53" s="28" t="str">
        <x:v>متوسط</x:v>
      </x:c>
      <x:c r="S53" s="28" t="str"/>
      <x:c r="T53" s="28" t="str">
        <x:v>لا يوجد نهاية في ملف الورد</x:v>
      </x:c>
      <x:c r="U53" s="28" t="str">
        <x:v>50446192</x:v>
      </x:c>
      <x:c r="V53" s="28" t="str">
        <x:v>عميل واحد</x:v>
      </x:c>
    </x:row>
    <x:row r="54" ht="38" customHeight="1">
      <x:c r="A54" s="28" t="str">
        <x:v>7077</x:v>
      </x:c>
      <x:c r="B54" s="28" t="str">
        <x:v>ادم صالح جبريل</x:v>
      </x:c>
      <x:c r="C54" s="28" t="str">
        <x:v>ادم صالح جبريل</x:v>
      </x:c>
      <x:c r="D54" s="85" t="n">
        <x:v>45282</x:v>
      </x:c>
      <x:c r="E54" s="38" t="n">
        <x:v>1500</x:v>
      </x:c>
      <x:c r="F54" s="28" t="str">
        <x:v>مطابق</x:v>
      </x:c>
      <x:c r="G54" s="28" t="str">
        <x:v>C-ALF-0066</x:v>
      </x:c>
      <x:c r="H54" s="28" t="str">
        <x:v>ادم صالح جبريل</x:v>
      </x:c>
      <x:c r="I54" s="28" t="str">
        <x:v>ساري</x:v>
      </x:c>
      <x:c r="J54" s="28" t="str"/>
      <x:c r="K54" s="37" t="n">
        <x:v>0</x:v>
      </x:c>
      <x:c r="L54" s="37" t="n">
        <x:v>6000</x:v>
      </x:c>
      <x:c r="M54" s="37" t="n">
        <x:v>8200</x:v>
      </x:c>
      <x:c r="N54" s="37" t="n">
        <x:v>0</x:v>
      </x:c>
      <x:c r="O54" s="28" t="str">
        <x:v>لا</x:v>
      </x:c>
      <x:c r="P54" s="28" t="str">
        <x:v>لا</x:v>
      </x:c>
      <x:c r="Q54" s="28" t="str">
        <x:v>إبقاء العقد ساريًا؛ لا تعديل على الهوية أو المركبة.</x:v>
      </x:c>
      <x:c r="R54" s="28" t="str">
        <x:v>متوسط</x:v>
      </x:c>
      <x:c r="S54" s="28" t="str"/>
      <x:c r="T54" s="28" t="str"/>
      <x:c r="U54" s="28" t="str">
        <x:v>50066411</x:v>
      </x:c>
      <x:c r="V54" s="28" t="str">
        <x:v>عميل واحد</x:v>
      </x:c>
    </x:row>
    <x:row r="55" ht="38" customHeight="1">
      <x:c r="A55" s="28" t="str">
        <x:v>7078</x:v>
      </x:c>
      <x:c r="B55" s="28" t="str">
        <x:v>محمد شريف عمرو عياش</x:v>
      </x:c>
      <x:c r="C55" s="28" t="str">
        <x:v>محمد شريف عمرو عياش</x:v>
      </x:c>
      <x:c r="D55" s="85" t="n">
        <x:v>45870</x:v>
      </x:c>
      <x:c r="E55" s="38" t="n">
        <x:v>1600</x:v>
      </x:c>
      <x:c r="F55" s="28" t="str">
        <x:v>مطابق</x:v>
      </x:c>
      <x:c r="G55" s="28" t="str">
        <x:v>C-ALF-0067</x:v>
      </x:c>
      <x:c r="H55" s="28" t="str">
        <x:v>محمد شريف عمرو عياش</x:v>
      </x:c>
      <x:c r="I55" s="28" t="str">
        <x:v>إجراء قانوني</x:v>
      </x:c>
      <x:c r="J55" s="28" t="str"/>
      <x:c r="K55" s="37" t="n">
        <x:v>12800</x:v>
      </x:c>
      <x:c r="L55" s="37" t="n">
        <x:v>6400</x:v>
      </x:c>
      <x:c r="M55" s="37" t="n">
        <x:v>4300</x:v>
      </x:c>
      <x:c r="N55" s="37" t="n">
        <x:v>25200</x:v>
      </x:c>
      <x:c r="O55" s="28" t="str">
        <x:v>نعم</x:v>
      </x:c>
      <x:c r="P55" s="28" t="str">
        <x:v>لا</x:v>
      </x:c>
      <x:c r="Q55" s="28" t="str">
        <x:v>إبقاء العقد قانونيًا مع توثيق استمرار/انتهاء حيازة المركبة ومراجعة المطالبة الدورية.</x:v>
      </x:c>
      <x:c r="R55" s="28" t="str">
        <x:v>عالٍ</x:v>
      </x:c>
      <x:c r="S55" s="28" t="str"/>
      <x:c r="T55" s="28" t="str">
        <x:v>حجز | لا يوجد نهاية في ملف الورد</x:v>
      </x:c>
      <x:c r="U55" s="28" t="str">
        <x:v>66036491</x:v>
      </x:c>
      <x:c r="V55" s="28" t="str">
        <x:v>عميل واحد</x:v>
      </x:c>
    </x:row>
    <x:row r="56" ht="38" customHeight="1">
      <x:c r="A56" s="28" t="str">
        <x:v>185513</x:v>
      </x:c>
      <x:c r="B56" s="28" t="str">
        <x:v>الصادق صالح إبراهيم دياب</x:v>
      </x:c>
      <x:c r="C56" s="28" t="str">
        <x:v>الصادق صالح إبراهيم دياب</x:v>
      </x:c>
      <x:c r="D56" s="85" t="n">
        <x:v>45352</x:v>
      </x:c>
      <x:c r="E56" s="38" t="n">
        <x:v>1800</x:v>
      </x:c>
      <x:c r="F56" s="28" t="str">
        <x:v>مطابق</x:v>
      </x:c>
      <x:c r="G56" s="28" t="str">
        <x:v>LTO20247</x:v>
      </x:c>
      <x:c r="H56" s="28" t="str">
        <x:v>الصادق صالح إبراهيم دياب</x:v>
      </x:c>
      <x:c r="I56" s="28" t="str">
        <x:v>ساري</x:v>
      </x:c>
      <x:c r="J56" s="28" t="str"/>
      <x:c r="K56" s="37" t="n">
        <x:v>0</x:v>
      </x:c>
      <x:c r="L56" s="37" t="n">
        <x:v>0</x:v>
      </x:c>
      <x:c r="M56" s="37" t="n">
        <x:v>17300</x:v>
      </x:c>
      <x:c r="N56" s="37" t="n">
        <x:v>0</x:v>
      </x:c>
      <x:c r="O56" s="28" t="str">
        <x:v>نعم</x:v>
      </x:c>
      <x:c r="P56" s="28" t="str">
        <x:v>لا</x:v>
      </x:c>
      <x:c r="Q56" s="28" t="str">
        <x:v>إبقاء العقد ساريًا؛ لا تعديل على الهوية أو المركبة.</x:v>
      </x:c>
      <x:c r="R56" s="28" t="str">
        <x:v>عالٍ</x:v>
      </x:c>
      <x:c r="S56" s="28" t="str"/>
      <x:c r="T56" s="28" t="str">
        <x:v>لا يوجد نهاية في ملف الورد</x:v>
      </x:c>
      <x:c r="U56" s="28" t="str">
        <x:v>70075544</x:v>
      </x:c>
      <x:c r="V56" s="28" t="str">
        <x:v>عميل واحد</x:v>
      </x:c>
    </x:row>
    <x:row r="57" ht="38" customHeight="1">
      <x:c r="A57" s="28" t="str">
        <x:v>185485</x:v>
      </x:c>
      <x:c r="B57" s="28" t="str">
        <x:v>احمد تاج</x:v>
      </x:c>
      <x:c r="C57" s="28" t="str">
        <x:v>احمد تاج</x:v>
      </x:c>
      <x:c r="D57" s="85"/>
      <x:c r="E57" s="38" t="n">
        <x:v>1500</x:v>
      </x:c>
      <x:c r="F57" s="28" t="str">
        <x:v>مطابق</x:v>
      </x:c>
      <x:c r="G57" s="28" t="str">
        <x:v>C-ALF-0006</x:v>
      </x:c>
      <x:c r="H57" s="28" t="str">
        <x:v>احمد تاج</x:v>
      </x:c>
      <x:c r="I57" s="28" t="str">
        <x:v>ساري</x:v>
      </x:c>
      <x:c r="J57" s="28" t="str"/>
      <x:c r="K57" s="37" t="n">
        <x:v>10500</x:v>
      </x:c>
      <x:c r="L57" s="37" t="n">
        <x:v>6000</x:v>
      </x:c>
      <x:c r="M57" s="37" t="n">
        <x:v>1500</x:v>
      </x:c>
      <x:c r="N57" s="37" t="n">
        <x:v>0</x:v>
      </x:c>
      <x:c r="O57" s="28" t="str">
        <x:v>لا</x:v>
      </x:c>
      <x:c r="P57" s="28" t="str">
        <x:v>لا</x:v>
      </x:c>
      <x:c r="Q57" s="28" t="str">
        <x:v>إبقاء العقد ساريًا؛ لا تعديل على الهوية أو المركبة.</x:v>
      </x:c>
      <x:c r="R57" s="28" t="str">
        <x:v>متوسط</x:v>
      </x:c>
      <x:c r="S57" s="28" t="str"/>
      <x:c r="T57" s="28" t="str">
        <x:v>لا يوجد بداية ونهاية في ملف الورد</x:v>
      </x:c>
      <x:c r="U57" s="28" t="str"/>
      <x:c r="V57" s="28" t="str">
        <x:v>عميل واحد</x:v>
      </x:c>
    </x:row>
    <x:row r="58" ht="38" customHeight="1">
      <x:c r="A58" s="28" t="str">
        <x:v>185573</x:v>
      </x:c>
      <x:c r="B58" s="28" t="str">
        <x:v>ايهاب ميرغني عوض الكريم عبد الله</x:v>
      </x:c>
      <x:c r="C58" s="28" t="str">
        <x:v>ايهاب ميرغني عوض الكريم عبد الله</x:v>
      </x:c>
      <x:c r="D58" s="85" t="n">
        <x:v>45748</x:v>
      </x:c>
      <x:c r="E58" s="38" t="n">
        <x:v>1500</x:v>
      </x:c>
      <x:c r="F58" s="28" t="str">
        <x:v>مطابق</x:v>
      </x:c>
      <x:c r="G58" s="28" t="str">
        <x:v>C-ALF-0008</x:v>
      </x:c>
      <x:c r="H58" s="28" t="str">
        <x:v>ايهاب ميرغني عوض الكريم عبد الله</x:v>
      </x:c>
      <x:c r="I58" s="28" t="str">
        <x:v>إجراء قانوني</x:v>
      </x:c>
      <x:c r="J58" s="28" t="str"/>
      <x:c r="K58" s="37" t="n">
        <x:v>9900</x:v>
      </x:c>
      <x:c r="L58" s="37" t="n">
        <x:v>4500</x:v>
      </x:c>
      <x:c r="M58" s="37" t="n">
        <x:v>0</x:v>
      </x:c>
      <x:c r="N58" s="37" t="n">
        <x:v>9900</x:v>
      </x:c>
      <x:c r="O58" s="28" t="str">
        <x:v>لا</x:v>
      </x:c>
      <x:c r="P58" s="28" t="str">
        <x:v>لا</x:v>
      </x:c>
      <x:c r="Q58" s="28" t="str">
        <x:v>إبقاء العقد قانونيًا مع توثيق استمرار/انتهاء حيازة المركبة ومراجعة المطالبة الدورية.</x:v>
      </x:c>
      <x:c r="R58" s="28" t="str">
        <x:v>متوسط</x:v>
      </x:c>
      <x:c r="S58" s="28" t="str"/>
      <x:c r="T58" s="28" t="str"/>
      <x:c r="U58" s="28" t="str">
        <x:v>3100 966</x:v>
      </x:c>
      <x:c r="V58" s="28" t="str">
        <x:v>عميل واحد</x:v>
      </x:c>
    </x:row>
    <x:row r="59" ht="38" customHeight="1">
      <x:c r="A59" s="28" t="str">
        <x:v>603353</x:v>
      </x:c>
      <x:c r="B59" s="28" t="str">
        <x:v>مصطفى بالقايد</x:v>
      </x:c>
      <x:c r="C59" s="28" t="str">
        <x:v>مصطفى بالقايد</x:v>
      </x:c>
      <x:c r="D59" s="85" t="n">
        <x:v>45839</x:v>
      </x:c>
      <x:c r="E59" s="38" t="n">
        <x:v>1700</x:v>
      </x:c>
      <x:c r="F59" s="28" t="str">
        <x:v>عقد العميل على مركبة أخرى</x:v>
      </x:c>
      <x:c r="G59" s="28" t="str"/>
      <x:c r="H59" s="28" t="str"/>
      <x:c r="I59" s="28" t="str"/>
      <x:c r="J59" s="28" t="str">
        <x:v>C-ALF-0043 / 5892 / إجراء قانوني</x:v>
      </x:c>
      <x:c r="K59" s="37" t="n">
        <x:v>0</x:v>
      </x:c>
      <x:c r="L59" s="37" t="n">
        <x:v>0</x:v>
      </x:c>
      <x:c r="M59" s="37" t="n">
        <x:v>0</x:v>
      </x:c>
      <x:c r="N59" s="37" t="n">
        <x:v>0</x:v>
      </x:c>
      <x:c r="O59" s="28" t="str">
        <x:v>لا</x:v>
      </x:c>
      <x:c r="P59" s="28" t="str"/>
      <x:c r="Q59" s="28" t="str">
        <x:v>مراجعة اللوحتين والملف الموقّع؛ فصل الحيازة الخاطئة ثم إنشاء/ربط العقد على لوحة أغسطس دون حذف المطالبة القديمة.</x:v>
      </x:c>
      <x:c r="R59" s="28" t="str">
        <x:v>يحتاج اعتماد</x:v>
      </x:c>
      <x:c r="S59" s="28" t="str"/>
      <x:c r="T59" s="28" t="str"/>
      <x:c r="U59" s="28" t="str">
        <x:v>31245752</x:v>
      </x:c>
      <x:c r="V59" s="28" t="str">
        <x:v>عميل واحد</x:v>
      </x:c>
    </x:row>
    <x:row r="60" ht="38" customHeight="1">
      <x:c r="A60" s="28" t="str">
        <x:v>599720</x:v>
      </x:c>
      <x:c r="B60" s="28" t="str">
        <x:v>انور بن علي الذهبي</x:v>
      </x:c>
      <x:c r="C60" s="28" t="str">
        <x:v>انور بن علي الذهبي</x:v>
      </x:c>
      <x:c r="D60" s="85" t="n">
        <x:v>45778</x:v>
      </x:c>
      <x:c r="E60" s="38" t="n">
        <x:v>1700</x:v>
      </x:c>
      <x:c r="F60" s="28" t="str">
        <x:v>مطابق</x:v>
      </x:c>
      <x:c r="G60" s="28" t="str">
        <x:v>C-ALF-0042</x:v>
      </x:c>
      <x:c r="H60" s="28" t="str">
        <x:v>انور بن علي الذهبي</x:v>
      </x:c>
      <x:c r="I60" s="28" t="str">
        <x:v>إجراء قانوني</x:v>
      </x:c>
      <x:c r="J60" s="28" t="str"/>
      <x:c r="K60" s="37" t="n">
        <x:v>2000</x:v>
      </x:c>
      <x:c r="L60" s="37" t="n">
        <x:v>5100</x:v>
      </x:c>
      <x:c r="M60" s="37" t="n">
        <x:v>1000</x:v>
      </x:c>
      <x:c r="N60" s="37" t="n">
        <x:v>4000</x:v>
      </x:c>
      <x:c r="O60" s="28" t="str">
        <x:v>نعم</x:v>
      </x:c>
      <x:c r="P60" s="28" t="str">
        <x:v>لا</x:v>
      </x:c>
      <x:c r="Q60" s="28" t="str">
        <x:v>إبقاء العقد قانونيًا مع توثيق استمرار/انتهاء حيازة المركبة ومراجعة المطالبة الدورية.</x:v>
      </x:c>
      <x:c r="R60" s="28" t="str">
        <x:v>عالٍ</x:v>
      </x:c>
      <x:c r="S60" s="28" t="str"/>
      <x:c r="T60" s="28" t="str">
        <x:v>راجع</x:v>
      </x:c>
      <x:c r="U60" s="28" t="str">
        <x:v>50234083</x:v>
      </x:c>
      <x:c r="V60" s="28" t="str">
        <x:v>عميل واحد</x:v>
      </x:c>
    </x:row>
    <x:row r="61" ht="38" customHeight="1">
      <x:c r="A61" s="28" t="str">
        <x:v>153974</x:v>
      </x:c>
      <x:c r="B61" s="28" t="str">
        <x:v>أزهري حكيم خالد حكيم</x:v>
      </x:c>
      <x:c r="C61" s="28" t="str">
        <x:v>أزهري حكيم خالد حكيم</x:v>
      </x:c>
      <x:c r="D61" s="85" t="n">
        <x:v>45658</x:v>
      </x:c>
      <x:c r="E61" s="38" t="n">
        <x:v>1500</x:v>
      </x:c>
      <x:c r="F61" s="28" t="str">
        <x:v>مطابق</x:v>
      </x:c>
      <x:c r="G61" s="28" t="str">
        <x:v>C-ALF-0005</x:v>
      </x:c>
      <x:c r="H61" s="28" t="str">
        <x:v>ازهري حاکم خالد حاكم</x:v>
      </x:c>
      <x:c r="I61" s="28" t="str">
        <x:v>ساري</x:v>
      </x:c>
      <x:c r="J61" s="28" t="str"/>
      <x:c r="K61" s="37" t="n">
        <x:v>2984</x:v>
      </x:c>
      <x:c r="L61" s="37" t="n">
        <x:v>12000</x:v>
      </x:c>
      <x:c r="M61" s="37" t="n">
        <x:v>1100</x:v>
      </x:c>
      <x:c r="N61" s="37" t="n">
        <x:v>0</x:v>
      </x:c>
      <x:c r="O61" s="28" t="str">
        <x:v>نعم</x:v>
      </x:c>
      <x:c r="P61" s="28" t="str">
        <x:v>لا</x:v>
      </x:c>
      <x:c r="Q61" s="28" t="str">
        <x:v>إبقاء العقد ساريًا؛ لا تعديل على الهوية أو المركبة.</x:v>
      </x:c>
      <x:c r="R61" s="28" t="str">
        <x:v>عالٍ</x:v>
      </x:c>
      <x:c r="S61" s="28" t="str"/>
      <x:c r="T61" s="28" t="str"/>
      <x:c r="U61" s="28" t="str">
        <x:v>55578515</x:v>
      </x:c>
      <x:c r="V61" s="28" t="str">
        <x:v>عميل واحد</x:v>
      </x:c>
    </x:row>
    <x:row r="62" ht="38" customHeight="1">
      <x:c r="A62" s="28" t="str">
        <x:v>10172</x:v>
      </x:c>
      <x:c r="B62" s="28" t="str">
        <x:v>أنور محمد إبراهيم محمد</x:v>
      </x:c>
      <x:c r="C62" s="28" t="str">
        <x:v>أنور محمد إبراهيم محمد</x:v>
      </x:c>
      <x:c r="D62" s="85" t="n">
        <x:v>45397</x:v>
      </x:c>
      <x:c r="E62" s="38" t="n">
        <x:v>1300</x:v>
      </x:c>
      <x:c r="F62" s="28" t="str">
        <x:v>مطابق</x:v>
      </x:c>
      <x:c r="G62" s="28" t="str">
        <x:v>C-ALF-0001</x:v>
      </x:c>
      <x:c r="H62" s="28" t="str">
        <x:v>أنور محمد إبراهيم محمد</x:v>
      </x:c>
      <x:c r="I62" s="28" t="str">
        <x:v>إجراء قانوني</x:v>
      </x:c>
      <x:c r="J62" s="28" t="str"/>
      <x:c r="K62" s="37" t="n">
        <x:v>0</x:v>
      </x:c>
      <x:c r="L62" s="37" t="n">
        <x:v>5200</x:v>
      </x:c>
      <x:c r="M62" s="37" t="n">
        <x:v>800</x:v>
      </x:c>
      <x:c r="N62" s="37" t="n">
        <x:v>0</x:v>
      </x:c>
      <x:c r="O62" s="28" t="str">
        <x:v>لا</x:v>
      </x:c>
      <x:c r="P62" s="28" t="str">
        <x:v>لا</x:v>
      </x:c>
      <x:c r="Q62" s="28" t="str">
        <x:v>إبقاء العقد قانونيًا مع توثيق استمرار/انتهاء حيازة المركبة ومراجعة المطالبة الدورية.</x:v>
      </x:c>
      <x:c r="R62" s="28" t="str">
        <x:v>متوسط</x:v>
      </x:c>
      <x:c r="S62" s="28" t="str"/>
      <x:c r="T62" s="28" t="str"/>
      <x:c r="U62" s="28" t="str">
        <x:v>70561365</x:v>
      </x:c>
      <x:c r="V62" s="28" t="str">
        <x:v>عميل واحد</x:v>
      </x:c>
    </x:row>
    <x:row r="63" ht="38" customHeight="1">
      <x:c r="A63" s="28" t="str">
        <x:v>10197</x:v>
      </x:c>
      <x:c r="B63" s="28" t="str">
        <x:v>احمد الشيخ الصديق هاشم الوسيله</x:v>
      </x:c>
      <x:c r="C63" s="28" t="str">
        <x:v>احمد الشيخ الصديق هاشم الوسيله</x:v>
      </x:c>
      <x:c r="D63" s="85" t="n">
        <x:v>45514</x:v>
      </x:c>
      <x:c r="E63" s="38" t="n">
        <x:v>1250</x:v>
      </x:c>
      <x:c r="F63" s="28" t="str">
        <x:v>مطابق</x:v>
      </x:c>
      <x:c r="G63" s="28" t="str">
        <x:v>LTO2024270</x:v>
      </x:c>
      <x:c r="H63" s="28" t="str">
        <x:v>احمد الشيخ الصديق هاشم الوسيله</x:v>
      </x:c>
      <x:c r="I63" s="28" t="str">
        <x:v>إجراء قانوني</x:v>
      </x:c>
      <x:c r="J63" s="28" t="str"/>
      <x:c r="K63" s="37" t="n">
        <x:v>8550</x:v>
      </x:c>
      <x:c r="L63" s="37" t="n">
        <x:v>13750</x:v>
      </x:c>
      <x:c r="M63" s="37" t="n">
        <x:v>19600</x:v>
      </x:c>
      <x:c r="N63" s="37" t="n">
        <x:v>47750</x:v>
      </x:c>
      <x:c r="O63" s="28" t="str">
        <x:v>نعم</x:v>
      </x:c>
      <x:c r="P63" s="28" t="str">
        <x:v>لا</x:v>
      </x:c>
      <x:c r="Q63" s="28" t="str">
        <x:v>إبقاء العقد قانونيًا مع توثيق استمرار/انتهاء حيازة المركبة ومراجعة المطالبة الدورية.</x:v>
      </x:c>
      <x:c r="R63" s="28" t="str">
        <x:v>عالٍ</x:v>
      </x:c>
      <x:c r="S63" s="28" t="str"/>
      <x:c r="T63" s="28" t="str"/>
      <x:c r="U63" s="28" t="str">
        <x:v>50118063</x:v>
      </x:c>
      <x:c r="V63" s="28" t="str">
        <x:v>عميل واحد</x:v>
      </x:c>
    </x:row>
    <x:row r="64" ht="38" customHeight="1">
      <x:c r="A64" s="28" t="str">
        <x:v>11473</x:v>
      </x:c>
      <x:c r="B64" s="28" t="str">
        <x:v>عماد العياري</x:v>
      </x:c>
      <x:c r="C64" s="28" t="str">
        <x:v>عماد العياري</x:v>
      </x:c>
      <x:c r="D64" s="85" t="n">
        <x:v>45554</x:v>
      </x:c>
      <x:c r="E64" s="38" t="n">
        <x:v>1250</x:v>
      </x:c>
      <x:c r="F64" s="28" t="str">
        <x:v>لا يوجد عقد حي</x:v>
      </x:c>
      <x:c r="G64" s="28" t="str"/>
      <x:c r="H64" s="28" t="str"/>
      <x:c r="I64" s="28" t="str"/>
      <x:c r="J64" s="28" t="str"/>
      <x:c r="K64" s="37" t="n">
        <x:v>0</x:v>
      </x:c>
      <x:c r="L64" s="37" t="n">
        <x:v>0</x:v>
      </x:c>
      <x:c r="M64" s="37" t="n">
        <x:v>0</x:v>
      </x:c>
      <x:c r="N64" s="37" t="n">
        <x:v>0</x:v>
      </x:c>
      <x:c r="O64" s="28" t="str">
        <x:v>لا</x:v>
      </x:c>
      <x:c r="P64" s="28" t="str"/>
      <x:c r="Q64" s="28" t="str">
        <x:v>استكمال هوية وملف موقّع وتاريخ التسليم، ثم إنشاء عقد جديد؛ لا يُنشأ عقد قانوني أو مطالبة آليًا من الاسم وحده.</x:v>
      </x:c>
      <x:c r="R64" s="28" t="str">
        <x:v>يحتاج اعتماد</x:v>
      </x:c>
      <x:c r="S64" s="28" t="str"/>
      <x:c r="T64" s="28" t="str"/>
      <x:c r="U64" s="28" t="str">
        <x:v>66071051</x:v>
      </x:c>
      <x:c r="V64" s="28" t="str">
        <x:v>عميل واحد</x:v>
      </x:c>
    </x:row>
    <x:row r="65" ht="38" customHeight="1">
      <x:c r="A65" s="28" t="str">
        <x:v>862169</x:v>
      </x:c>
      <x:c r="B65" s="28" t="str">
        <x:v>عبد الرحيم شاكر احمد محمد</x:v>
      </x:c>
      <x:c r="C65" s="28" t="str">
        <x:v>عبد الرحيم شاكر احمد محمد</x:v>
      </x:c>
      <x:c r="D65" s="85" t="n">
        <x:v>45839</x:v>
      </x:c>
      <x:c r="E65" s="38" t="n">
        <x:v>1000</x:v>
      </x:c>
      <x:c r="F65" s="28" t="str">
        <x:v>مطابق مع تعارض موازٍ</x:v>
      </x:c>
      <x:c r="G65" s="28" t="str">
        <x:v>C-ALF-0086</x:v>
      </x:c>
      <x:c r="H65" s="28" t="str">
        <x:v>عبد الرحيم شاكر احمد محمد</x:v>
      </x:c>
      <x:c r="I65" s="28" t="str">
        <x:v>ساري</x:v>
      </x:c>
      <x:c r="J65" s="28" t="str">
        <x:v>LTO2024109 / 9890 / ساري، C-ALF-0033 / 4018 / إجراء قانوني</x:v>
      </x:c>
      <x:c r="K65" s="37" t="n">
        <x:v>17400</x:v>
      </x:c>
      <x:c r="L65" s="37" t="n">
        <x:v>10400</x:v>
      </x:c>
      <x:c r="M65" s="37" t="n">
        <x:v>0</x:v>
      </x:c>
      <x:c r="N65" s="37" t="n">
        <x:v>0</x:v>
      </x:c>
      <x:c r="O65" s="28" t="str">
        <x:v>لا</x:v>
      </x:c>
      <x:c r="P65" s="28" t="str">
        <x:v>لا</x:v>
      </x:c>
      <x:c r="Q65" s="28" t="str">
        <x:v>إبقاء العقد المطابق، وإغلاق عهدة العقد الموازي عند انتقال المركبة مع بقاء المطالبة القانونية مستقلة.</x:v>
      </x:c>
      <x:c r="R65" s="28" t="str">
        <x:v>يحتاج اعتماد</x:v>
      </x:c>
      <x:c r="S65" s="28" t="str"/>
      <x:c r="T65" s="28" t="str">
        <x:v>لا يوجد نهاية في ملف الورد</x:v>
      </x:c>
      <x:c r="U65" s="28" t="str">
        <x:v>31310330</x:v>
      </x:c>
      <x:c r="V65" s="28" t="str">
        <x:v>عميل واحد</x:v>
      </x:c>
    </x:row>
    <x:row r="66" ht="38" customHeight="1">
      <x:c r="A66" s="28" t="str">
        <x:v>862165</x:v>
      </x:c>
      <x:c r="B66" s="28" t="str">
        <x:v>مهدي الشريف عبد الرحيم يوسف</x:v>
      </x:c>
      <x:c r="C66" s="28" t="str">
        <x:v>مهدي الشريف عبد الرحيم يوسف</x:v>
      </x:c>
      <x:c r="D66" s="85" t="n">
        <x:v>45901</x:v>
      </x:c>
      <x:c r="E66" s="38" t="n">
        <x:v>1500</x:v>
      </x:c>
      <x:c r="F66" s="28" t="str">
        <x:v>عقد باسم عميل آخر</x:v>
      </x:c>
      <x:c r="G66" s="28" t="str">
        <x:v>LTO2024283</x:v>
      </x:c>
      <x:c r="H66" s="28" t="str">
        <x:v>فهد الشريف عبد الرحيم يوسف</x:v>
      </x:c>
      <x:c r="I66" s="28" t="str">
        <x:v>ساري</x:v>
      </x:c>
      <x:c r="J66" s="28" t="str">
        <x:v>LTO2024252 / 721440 / إجراء قانوني</x:v>
      </x:c>
      <x:c r="K66" s="37" t="n">
        <x:v>8150</x:v>
      </x:c>
      <x:c r="L66" s="37" t="n">
        <x:v>5200</x:v>
      </x:c>
      <x:c r="M66" s="37" t="n">
        <x:v>100</x:v>
      </x:c>
      <x:c r="N66" s="37" t="n">
        <x:v>0</x:v>
      </x:c>
      <x:c r="O66" s="28" t="str">
        <x:v>نعم</x:v>
      </x:c>
      <x:c r="P66" s="28" t="str">
        <x:v>لا</x:v>
      </x:c>
      <x:c r="Q66" s="28" t="str">
        <x:v>إنهاء عهدة العقد السابق عند 2025-09-01، احتساب المتأخر حتى القطع، ثم إنشاء/ربط عقد المستأجر الحالي بعد اعتماد الهوية.</x:v>
      </x:c>
      <x:c r="R66" s="28" t="str">
        <x:v>يحتاج اعتماد</x:v>
      </x:c>
      <x:c r="S66" s="28" t="str"/>
      <x:c r="T66" s="28" t="str"/>
      <x:c r="U66" s="28" t="str">
        <x:v>33670129</x:v>
      </x:c>
      <x:c r="V66" s="28" t="str">
        <x:v>عميل واحد</x:v>
      </x:c>
    </x:row>
    <x:row r="67" ht="38" customHeight="1">
      <x:c r="A67" s="28" t="str">
        <x:v>10663</x:v>
      </x:c>
      <x:c r="B67" s="28" t="str">
        <x:v>علاء الدين علي دباش</x:v>
      </x:c>
      <x:c r="C67" s="28" t="str">
        <x:v>علاء الدين علي دباش</x:v>
      </x:c>
      <x:c r="D67" s="85" t="n">
        <x:v>45901</x:v>
      </x:c>
      <x:c r="E67" s="38" t="n">
        <x:v>1500</x:v>
      </x:c>
      <x:c r="F67" s="28" t="str">
        <x:v>عقد باسم عميل آخر</x:v>
      </x:c>
      <x:c r="G67" s="28" t="str">
        <x:v>CON-26-V1KPVI</x:v>
      </x:c>
      <x:c r="H67" s="28" t="str">
        <x:v>علاء الدين خميس حسين</x:v>
      </x:c>
      <x:c r="I67" s="28" t="str">
        <x:v>ساري</x:v>
      </x:c>
      <x:c r="J67" s="28" t="str">
        <x:v>LTO2024136 / 7041 / إجراء قانوني</x:v>
      </x:c>
      <x:c r="K67" s="37" t="n">
        <x:v>13800</x:v>
      </x:c>
      <x:c r="L67" s="37" t="n">
        <x:v>18000</x:v>
      </x:c>
      <x:c r="M67" s="37" t="n">
        <x:v>4100</x:v>
      </x:c>
      <x:c r="N67" s="37" t="n">
        <x:v>0</x:v>
      </x:c>
      <x:c r="O67" s="28" t="str">
        <x:v>لا</x:v>
      </x:c>
      <x:c r="P67" s="28" t="str">
        <x:v>لا</x:v>
      </x:c>
      <x:c r="Q67" s="28" t="str">
        <x:v>إنهاء عهدة العقد السابق عند 2025-09-01، احتساب المتأخر حتى القطع، ثم إنشاء/ربط عقد المستأجر الحالي بعد اعتماد الهوية.</x:v>
      </x:c>
      <x:c r="R67" s="28" t="str">
        <x:v>يحتاج اعتماد</x:v>
      </x:c>
      <x:c r="S67" s="28" t="str"/>
      <x:c r="T67" s="28" t="str">
        <x:v>لا يوجد نهاية في ملف الورد</x:v>
      </x:c>
      <x:c r="U67" s="28" t="str">
        <x:v>77456429</x:v>
      </x:c>
      <x:c r="V67" s="28" t="str">
        <x:v>عميل واحد</x:v>
      </x:c>
    </x:row>
    <x:row r="68" ht="38" customHeight="1">
      <x:c r="A68" s="28" t="str">
        <x:v>10664</x:v>
      </x:c>
      <x:c r="B68" s="28" t="str">
        <x:v>رئيس رجب</x:v>
      </x:c>
      <x:c r="C68" s="28" t="str">
        <x:v>غير موجود في النظام</x:v>
      </x:c>
      <x:c r="D68" s="85" t="n">
        <x:v>45893</x:v>
      </x:c>
      <x:c r="E68" s="38" t="n">
        <x:v>1500</x:v>
      </x:c>
      <x:c r="F68" s="28" t="str">
        <x:v>لا يوجد عقد حي</x:v>
      </x:c>
      <x:c r="G68" s="28" t="str"/>
      <x:c r="H68" s="28" t="str"/>
      <x:c r="I68" s="28" t="str"/>
      <x:c r="J68" s="28" t="str"/>
      <x:c r="K68" s="37" t="n">
        <x:v>0</x:v>
      </x:c>
      <x:c r="L68" s="37" t="n">
        <x:v>0</x:v>
      </x:c>
      <x:c r="M68" s="37" t="n">
        <x:v>0</x:v>
      </x:c>
      <x:c r="N68" s="37" t="n">
        <x:v>0</x:v>
      </x:c>
      <x:c r="O68" s="28" t="str">
        <x:v>لا</x:v>
      </x:c>
      <x:c r="P68" s="28" t="str"/>
      <x:c r="Q68" s="28" t="str">
        <x:v>استكمال هوية وملف موقّع وتاريخ التسليم، ثم إنشاء عقد جديد؛ لا يُنشأ عقد قانوني أو مطالبة آليًا من الاسم وحده.</x:v>
      </x:c>
      <x:c r="R68" s="28" t="str">
        <x:v>يحتاج اعتماد</x:v>
      </x:c>
      <x:c r="S68" s="28" t="str"/>
      <x:c r="T68" s="28" t="str">
        <x:v>900 | لا يوجد نهاية في ملف الورد</x:v>
      </x:c>
      <x:c r="U68" s="28" t="str">
        <x:v>50415688</x:v>
      </x:c>
      <x:c r="V68" s="28" t="str">
        <x:v>غير موجود</x:v>
      </x:c>
    </x:row>
    <x:row r="69" ht="38" customHeight="1">
      <x:c r="A69" s="28" t="str">
        <x:v>10665</x:v>
      </x:c>
      <x:c r="B69" s="28" t="str">
        <x:v>اإبنيزر</x:v>
      </x:c>
      <x:c r="C69" s="28" t="str">
        <x:v>غير موجود في النظام</x:v>
      </x:c>
      <x:c r="D69" s="85"/>
      <x:c r="E69" s="38" t="n">
        <x:v>0</x:v>
      </x:c>
      <x:c r="F69" s="28" t="str">
        <x:v>لا يوجد عقد حي</x:v>
      </x:c>
      <x:c r="G69" s="28" t="str"/>
      <x:c r="H69" s="28" t="str"/>
      <x:c r="I69" s="28" t="str"/>
      <x:c r="J69" s="28" t="str"/>
      <x:c r="K69" s="37" t="n">
        <x:v>0</x:v>
      </x:c>
      <x:c r="L69" s="37" t="n">
        <x:v>0</x:v>
      </x:c>
      <x:c r="M69" s="37" t="n">
        <x:v>0</x:v>
      </x:c>
      <x:c r="N69" s="37" t="n">
        <x:v>0</x:v>
      </x:c>
      <x:c r="O69" s="28" t="str">
        <x:v>لا</x:v>
      </x:c>
      <x:c r="P69" s="28" t="str"/>
      <x:c r="Q69" s="28" t="str">
        <x:v>استكمال هوية وملف موقّع وتاريخ التسليم، ثم إنشاء عقد جديد؛ لا يُنشأ عقد قانوني أو مطالبة آليًا من الاسم وحده.</x:v>
      </x:c>
      <x:c r="R69" s="28" t="str">
        <x:v>يحتاج اعتماد</x:v>
      </x:c>
      <x:c r="S69" s="28" t="str"/>
      <x:c r="T69" s="28" t="str">
        <x:v>لا يوجد تاريخ/قسط في ملف الورد</x:v>
      </x:c>
      <x:c r="U69" s="28" t="str"/>
      <x:c r="V69" s="28" t="str">
        <x:v>غير موجود</x:v>
      </x:c>
    </x:row>
    <x:row r="70" ht="38" customHeight="1">
      <x:c r="A70" s="28" t="str">
        <x:v>10668</x:v>
      </x:c>
      <x:c r="B70" s="28" t="str">
        <x:v>عبد المنعم حسن حمدي</x:v>
      </x:c>
      <x:c r="C70" s="28" t="str">
        <x:v>عبد المنعم حسن حمدي</x:v>
      </x:c>
      <x:c r="D70" s="85" t="n">
        <x:v>45717</x:v>
      </x:c>
      <x:c r="E70" s="38" t="n">
        <x:v>1500</x:v>
      </x:c>
      <x:c r="F70" s="28" t="str">
        <x:v>مطابق</x:v>
      </x:c>
      <x:c r="G70" s="28" t="str">
        <x:v>AGR-202504-400949</x:v>
      </x:c>
      <x:c r="H70" s="28" t="str">
        <x:v>عبد المنعم حسن حمدي</x:v>
      </x:c>
      <x:c r="I70" s="28" t="str">
        <x:v>إجراء قانوني</x:v>
      </x:c>
      <x:c r="J70" s="28" t="str"/>
      <x:c r="K70" s="37" t="n">
        <x:v>42600</x:v>
      </x:c>
      <x:c r="L70" s="37" t="n">
        <x:v>51000</x:v>
      </x:c>
      <x:c r="M70" s="37" t="n">
        <x:v>0</x:v>
      </x:c>
      <x:c r="N70" s="37" t="n">
        <x:v>21300</x:v>
      </x:c>
      <x:c r="O70" s="28" t="str">
        <x:v>لا</x:v>
      </x:c>
      <x:c r="P70" s="28" t="str">
        <x:v>لا</x:v>
      </x:c>
      <x:c r="Q70" s="28" t="str">
        <x:v>إبقاء العقد قانونيًا مع توثيق استمرار/انتهاء حيازة المركبة ومراجعة المطالبة الدورية.</x:v>
      </x:c>
      <x:c r="R70" s="28" t="str">
        <x:v>متوسط</x:v>
      </x:c>
      <x:c r="S70" s="28" t="str"/>
      <x:c r="T70" s="28" t="str">
        <x:v>1500+500 | لا يوجد نهاية في ملف الورد</x:v>
      </x:c>
      <x:c r="U70" s="28" t="str">
        <x:v>70184904</x:v>
      </x:c>
      <x:c r="V70" s="28" t="str">
        <x:v>عميل واحد</x:v>
      </x:c>
    </x:row>
    <x:row r="71" ht="38" customHeight="1">
      <x:c r="A71" s="28" t="str">
        <x:v>10853</x:v>
      </x:c>
      <x:c r="B71" s="28" t="str">
        <x:v>محمد علی محمد خالد</x:v>
      </x:c>
      <x:c r="C71" s="28" t="str">
        <x:v>محمد علی محمد خالد</x:v>
      </x:c>
      <x:c r="D71" s="85" t="n">
        <x:v>46023</x:v>
      </x:c>
      <x:c r="E71" s="38" t="n">
        <x:v>1500</x:v>
      </x:c>
      <x:c r="F71" s="28" t="str">
        <x:v>عقد باسم عميل آخر</x:v>
      </x:c>
      <x:c r="G71" s="28" t="str">
        <x:v>C-ALF-0099</x:v>
      </x:c>
      <x:c r="H71" s="28" t="str">
        <x:v>محمد ابراهيم نور غد غول</x:v>
      </x:c>
      <x:c r="I71" s="28" t="str">
        <x:v>إجراء قانوني</x:v>
      </x:c>
      <x:c r="J71" s="28" t="str"/>
      <x:c r="K71" s="37" t="n">
        <x:v>15000</x:v>
      </x:c>
      <x:c r="L71" s="37" t="n">
        <x:v>3000</x:v>
      </x:c>
      <x:c r="M71" s="37" t="n">
        <x:v>100</x:v>
      </x:c>
      <x:c r="N71" s="37" t="n">
        <x:v>22600</x:v>
      </x:c>
      <x:c r="O71" s="28" t="str">
        <x:v>نعم</x:v>
      </x:c>
      <x:c r="P71" s="28" t="str">
        <x:v>لا</x:v>
      </x:c>
      <x:c r="Q71" s="28" t="str">
        <x:v>إنهاء عهدة العقد السابق عند 2026-01-01، احتساب المتأخر حتى القطع، ثم إنشاء/ربط عقد المستأجر الحالي بعد اعتماد الهوية.</x:v>
      </x:c>
      <x:c r="R71" s="28" t="str">
        <x:v>يحتاج اعتماد</x:v>
      </x:c>
      <x:c r="S71" s="28" t="str"/>
      <x:c r="T71" s="28" t="str">
        <x:v>1500 | لا يوجد نهاية في ملف الورد</x:v>
      </x:c>
      <x:c r="U71" s="28" t="str">
        <x:v>66047108</x:v>
      </x:c>
      <x:c r="V71" s="28" t="str">
        <x:v>عميل واحد</x:v>
      </x:c>
    </x:row>
    <x:row r="72" ht="38" customHeight="1">
      <x:c r="A72" s="28" t="str">
        <x:v>10856</x:v>
      </x:c>
      <x:c r="B72" s="28" t="str">
        <x:v>أيمن محمد صوان</x:v>
      </x:c>
      <x:c r="C72" s="28" t="str">
        <x:v>غير موجود في النظام</x:v>
      </x:c>
      <x:c r="D72" s="85" t="n">
        <x:v>46055</x:v>
      </x:c>
      <x:c r="E72" s="38" t="n">
        <x:v>1500</x:v>
      </x:c>
      <x:c r="F72" s="28" t="str">
        <x:v>لا يوجد عقد حي</x:v>
      </x:c>
      <x:c r="G72" s="28" t="str"/>
      <x:c r="H72" s="28" t="str"/>
      <x:c r="I72" s="28" t="str"/>
      <x:c r="J72" s="28" t="str"/>
      <x:c r="K72" s="37" t="n">
        <x:v>0</x:v>
      </x:c>
      <x:c r="L72" s="37" t="n">
        <x:v>0</x:v>
      </x:c>
      <x:c r="M72" s="37" t="n">
        <x:v>0</x:v>
      </x:c>
      <x:c r="N72" s="37" t="n">
        <x:v>0</x:v>
      </x:c>
      <x:c r="O72" s="28" t="str">
        <x:v>لا</x:v>
      </x:c>
      <x:c r="P72" s="28" t="str"/>
      <x:c r="Q72" s="28" t="str">
        <x:v>استكمال هوية وملف موقّع وتاريخ التسليم، ثم إنشاء عقد جديد؛ لا يُنشأ عقد قانوني أو مطالبة آليًا من الاسم وحده.</x:v>
      </x:c>
      <x:c r="R72" s="28" t="str">
        <x:v>يحتاج اعتماد</x:v>
      </x:c>
      <x:c r="S72" s="28" t="str"/>
      <x:c r="T72" s="28" t="str">
        <x:v>1500 | لا يوجد نهاية في ملف الورد</x:v>
      </x:c>
      <x:c r="U72" s="28" t="str">
        <x:v>77073470</x:v>
      </x:c>
      <x:c r="V72" s="28" t="str">
        <x:v>غير موجود</x:v>
      </x:c>
    </x:row>
    <x:row r="73" ht="38" customHeight="1">
      <x:c r="A73" s="28" t="str">
        <x:v>10857</x:v>
      </x:c>
      <x:c r="B73" s="28" t="str">
        <x:v>شمس الدين خلفة</x:v>
      </x:c>
      <x:c r="C73" s="28" t="str">
        <x:v>غير موجود في النظام</x:v>
      </x:c>
      <x:c r="D73" s="85" t="n">
        <x:v>46028</x:v>
      </x:c>
      <x:c r="E73" s="38" t="n">
        <x:v>1500</x:v>
      </x:c>
      <x:c r="F73" s="28" t="str">
        <x:v>عقد باسم عميل آخر</x:v>
      </x:c>
      <x:c r="G73" s="28" t="str">
        <x:v>C-ALF-0100</x:v>
      </x:c>
      <x:c r="H73" s="28" t="str">
        <x:v>مجدي احمد عبدالله علي</x:v>
      </x:c>
      <x:c r="I73" s="28" t="str">
        <x:v>ساري</x:v>
      </x:c>
      <x:c r="J73" s="28" t="str"/>
      <x:c r="K73" s="37" t="n">
        <x:v>15000</x:v>
      </x:c>
      <x:c r="L73" s="37" t="n">
        <x:v>6000</x:v>
      </x:c>
      <x:c r="M73" s="37" t="n">
        <x:v>2300</x:v>
      </x:c>
      <x:c r="N73" s="37" t="n">
        <x:v>0</x:v>
      </x:c>
      <x:c r="O73" s="28" t="str">
        <x:v>لا</x:v>
      </x:c>
      <x:c r="P73" s="28" t="str">
        <x:v>لا</x:v>
      </x:c>
      <x:c r="Q73" s="28" t="str">
        <x:v>إنهاء عهدة العقد السابق عند 2026-01-06، احتساب المتأخر حتى القطع، ثم إنشاء/ربط عقد المستأجر الحالي بعد اعتماد الهوية.</x:v>
      </x:c>
      <x:c r="R73" s="28" t="str">
        <x:v>يحتاج اعتماد</x:v>
      </x:c>
      <x:c r="S73" s="28" t="str"/>
      <x:c r="T73" s="28" t="str">
        <x:v>1500 | لا يوجد نهاية في ملف الورد</x:v>
      </x:c>
      <x:c r="U73" s="28" t="str">
        <x:v>50032458</x:v>
      </x:c>
      <x:c r="V73" s="28" t="str">
        <x:v>غير موجود</x:v>
      </x:c>
    </x:row>
    <x:row r="74" ht="38" customHeight="1">
      <x:c r="A74" s="28" t="str">
        <x:v>847941</x:v>
      </x:c>
      <x:c r="B74" s="28" t="str">
        <x:v>رافي</x:v>
      </x:c>
      <x:c r="C74" s="28" t="str">
        <x:v>غير موجود في النظام</x:v>
      </x:c>
      <x:c r="D74" s="85" t="n">
        <x:v>44986</x:v>
      </x:c>
      <x:c r="E74" s="38" t="n">
        <x:v>2100</x:v>
      </x:c>
      <x:c r="F74" s="28" t="str">
        <x:v>لا يوجد عقد حي</x:v>
      </x:c>
      <x:c r="G74" s="28" t="str"/>
      <x:c r="H74" s="28" t="str"/>
      <x:c r="I74" s="28" t="str"/>
      <x:c r="J74" s="28" t="str"/>
      <x:c r="K74" s="37" t="n">
        <x:v>0</x:v>
      </x:c>
      <x:c r="L74" s="37" t="n">
        <x:v>0</x:v>
      </x:c>
      <x:c r="M74" s="37" t="n">
        <x:v>0</x:v>
      </x:c>
      <x:c r="N74" s="37" t="n">
        <x:v>0</x:v>
      </x:c>
      <x:c r="O74" s="28" t="str">
        <x:v>لا</x:v>
      </x:c>
      <x:c r="P74" s="28" t="str"/>
      <x:c r="Q74" s="28" t="str">
        <x:v>استكمال هوية وملف موقّع وتاريخ التسليم، ثم إنشاء عقد جديد؛ لا يُنشأ عقد قانوني أو مطالبة آليًا من الاسم وحده.</x:v>
      </x:c>
      <x:c r="R74" s="28" t="str">
        <x:v>يحتاج اعتماد</x:v>
      </x:c>
      <x:c r="S74" s="28" t="str"/>
      <x:c r="T74" s="28" t="str"/>
      <x:c r="U74" s="28" t="str"/>
      <x:c r="V74" s="28" t="str">
        <x:v>غير موجود</x:v>
      </x:c>
    </x:row>
    <x:row r="75" ht="38" customHeight="1">
      <x:c r="A75" s="28" t="str">
        <x:v>846508</x:v>
      </x:c>
      <x:c r="B75" s="28" t="str">
        <x:v>مهدي الحسين الحسني</x:v>
      </x:c>
      <x:c r="C75" s="28" t="str">
        <x:v>مهدي الحسين الحسني</x:v>
      </x:c>
      <x:c r="D75" s="85" t="n">
        <x:v>45211</x:v>
      </x:c>
      <x:c r="E75" s="38" t="n">
        <x:v>2100</x:v>
      </x:c>
      <x:c r="F75" s="28" t="str">
        <x:v>مطابق</x:v>
      </x:c>
      <x:c r="G75" s="28" t="str">
        <x:v>C-ALF-0104</x:v>
      </x:c>
      <x:c r="H75" s="28" t="str">
        <x:v>مهدي الحسين الحسني</x:v>
      </x:c>
      <x:c r="I75" s="28" t="str">
        <x:v>ساري</x:v>
      </x:c>
      <x:c r="J75" s="28" t="str"/>
      <x:c r="K75" s="37" t="n">
        <x:v>16800</x:v>
      </x:c>
      <x:c r="L75" s="37" t="n">
        <x:v>6300</x:v>
      </x:c>
      <x:c r="M75" s="37" t="n">
        <x:v>300</x:v>
      </x:c>
      <x:c r="N75" s="37" t="n">
        <x:v>0</x:v>
      </x:c>
      <x:c r="O75" s="28" t="str">
        <x:v>لا</x:v>
      </x:c>
      <x:c r="P75" s="28" t="str">
        <x:v>لا</x:v>
      </x:c>
      <x:c r="Q75" s="28" t="str">
        <x:v>إبقاء العقد ساريًا؛ لا تعديل على الهوية أو المركبة.</x:v>
      </x:c>
      <x:c r="R75" s="28" t="str">
        <x:v>متوسط</x:v>
      </x:c>
      <x:c r="S75" s="28" t="str"/>
      <x:c r="T75" s="28" t="str"/>
      <x:c r="U75" s="28" t="str"/>
      <x:c r="V75" s="28" t="str">
        <x:v>عميل واحد</x:v>
      </x:c>
    </x:row>
    <x:row r="76" ht="38" customHeight="1">
      <x:c r="A76" s="28" t="str">
        <x:v>847987</x:v>
      </x:c>
      <x:c r="B76" s="28" t="str">
        <x:v>رافي</x:v>
      </x:c>
      <x:c r="C76" s="28" t="str">
        <x:v>غير موجود في النظام</x:v>
      </x:c>
      <x:c r="D76" s="85" t="n">
        <x:v>44986</x:v>
      </x:c>
      <x:c r="E76" s="38" t="n">
        <x:v>2100</x:v>
      </x:c>
      <x:c r="F76" s="28" t="str">
        <x:v>لا يوجد عقد حي</x:v>
      </x:c>
      <x:c r="G76" s="28" t="str"/>
      <x:c r="H76" s="28" t="str"/>
      <x:c r="I76" s="28" t="str"/>
      <x:c r="J76" s="28" t="str"/>
      <x:c r="K76" s="37" t="n">
        <x:v>0</x:v>
      </x:c>
      <x:c r="L76" s="37" t="n">
        <x:v>0</x:v>
      </x:c>
      <x:c r="M76" s="37" t="n">
        <x:v>0</x:v>
      </x:c>
      <x:c r="N76" s="37" t="n">
        <x:v>0</x:v>
      </x:c>
      <x:c r="O76" s="28" t="str">
        <x:v>لا</x:v>
      </x:c>
      <x:c r="P76" s="28" t="str"/>
      <x:c r="Q76" s="28" t="str">
        <x:v>استكمال هوية وملف موقّع وتاريخ التسليم، ثم إنشاء عقد جديد؛ لا يُنشأ عقد قانوني أو مطالبة آليًا من الاسم وحده.</x:v>
      </x:c>
      <x:c r="R76" s="28" t="str">
        <x:v>يحتاج اعتماد</x:v>
      </x:c>
      <x:c r="S76" s="28" t="str"/>
      <x:c r="T76" s="28" t="str"/>
      <x:c r="U76" s="28" t="str"/>
      <x:c r="V76" s="28" t="str">
        <x:v>غير موجود</x:v>
      </x:c>
    </x:row>
    <x:row r="77" ht="38" customHeight="1">
      <x:c r="A77" s="28" t="str">
        <x:v>848014</x:v>
      </x:c>
      <x:c r="B77" s="28" t="str">
        <x:v>طارق محمد الرحالي</x:v>
      </x:c>
      <x:c r="C77" s="28" t="str">
        <x:v>طارق محمد الرحالي</x:v>
      </x:c>
      <x:c r="D77" s="85" t="n">
        <x:v>45874</x:v>
      </x:c>
      <x:c r="E77" s="38" t="n">
        <x:v>0</x:v>
      </x:c>
      <x:c r="F77" s="28" t="str">
        <x:v>قرار إداري أحدث</x:v>
      </x:c>
      <x:c r="G77" s="28" t="str"/>
      <x:c r="H77" s="28" t="str"/>
      <x:c r="I77" s="28" t="str"/>
      <x:c r="J77" s="28" t="str"/>
      <x:c r="K77" s="37" t="n">
        <x:v>0</x:v>
      </x:c>
      <x:c r="L77" s="37" t="n">
        <x:v>0</x:v>
      </x:c>
      <x:c r="M77" s="37" t="n">
        <x:v>0</x:v>
      </x:c>
      <x:c r="N77" s="37" t="n">
        <x:v>0</x:v>
      </x:c>
      <x:c r="O77" s="28" t="str">
        <x:v>لا</x:v>
      </x:c>
      <x:c r="P77" s="28" t="str"/>
      <x:c r="Q77" s="28" t="str">
        <x:v>قرار إلغاء وإتاحة أحدث: إبقاء المركبة متاحة وعدم إعادة العقد الملغي.</x:v>
      </x:c>
      <x:c r="R77" s="28" t="str">
        <x:v>مؤكد بقرار أحدث</x:v>
      </x:c>
      <x:c r="S77" s="28" t="str"/>
      <x:c r="T77" s="28" t="str">
        <x:v>- | لا يوجد نهاية وقسط في ملف الورد</x:v>
      </x:c>
      <x:c r="U77" s="28" t="str"/>
      <x:c r="V77" s="28" t="str">
        <x:v>عميل واحد</x:v>
      </x:c>
    </x:row>
    <x:row r="78" ht="38" customHeight="1">
      <x:c r="A78" s="28" t="str">
        <x:v>847099</x:v>
      </x:c>
      <x:c r="B78" s="28" t="str">
        <x:v>أمير عبد الرحمن احمد المهدى بط</x:v>
      </x:c>
      <x:c r="C78" s="28" t="str">
        <x:v>أمير عبد الرحمن احمد المهدى بط</x:v>
      </x:c>
      <x:c r="D78" s="85" t="n">
        <x:v>45396</x:v>
      </x:c>
      <x:c r="E78" s="38" t="n">
        <x:v>2300</x:v>
      </x:c>
      <x:c r="F78" s="28" t="str">
        <x:v>لا يوجد عقد حي</x:v>
      </x:c>
      <x:c r="G78" s="28" t="str"/>
      <x:c r="H78" s="28" t="str"/>
      <x:c r="I78" s="28" t="str"/>
      <x:c r="J78" s="28" t="str"/>
      <x:c r="K78" s="37" t="n">
        <x:v>0</x:v>
      </x:c>
      <x:c r="L78" s="37" t="n">
        <x:v>0</x:v>
      </x:c>
      <x:c r="M78" s="37" t="n">
        <x:v>0</x:v>
      </x:c>
      <x:c r="N78" s="37" t="n">
        <x:v>0</x:v>
      </x:c>
      <x:c r="O78" s="28" t="str">
        <x:v>لا</x:v>
      </x:c>
      <x:c r="P78" s="28" t="str"/>
      <x:c r="Q78" s="28" t="str">
        <x:v>استكمال هوية وملف موقّع وتاريخ التسليم، ثم إنشاء عقد جديد؛ لا يُنشأ عقد قانوني أو مطالبة آليًا من الاسم وحده.</x:v>
      </x:c>
      <x:c r="R78" s="28" t="str">
        <x:v>يحتاج اعتماد</x:v>
      </x:c>
      <x:c r="S78" s="28" t="str"/>
      <x:c r="T78" s="28" t="str">
        <x:v>- حادث</x:v>
      </x:c>
      <x:c r="U78" s="28" t="str"/>
      <x:c r="V78" s="28" t="str">
        <x:v>غير موجود</x:v>
      </x:c>
    </x:row>
    <x:row r="79" ht="38" customHeight="1">
      <x:c r="A79" s="28" t="str">
        <x:v>847059</x:v>
      </x:c>
      <x:c r="B79" s="28" t="str">
        <x:v>بدر الدين الخليفي</x:v>
      </x:c>
      <x:c r="C79" s="28" t="str">
        <x:v>بدر الدين الخليفي</x:v>
      </x:c>
      <x:c r="D79" s="85" t="n">
        <x:v>45283</x:v>
      </x:c>
      <x:c r="E79" s="38" t="n">
        <x:v>2200</x:v>
      </x:c>
      <x:c r="F79" s="28" t="str">
        <x:v>مطابق</x:v>
      </x:c>
      <x:c r="G79" s="28" t="str">
        <x:v>C-ALF-0106</x:v>
      </x:c>
      <x:c r="H79" s="28" t="str">
        <x:v>بدر الدين الخليفي</x:v>
      </x:c>
      <x:c r="I79" s="28" t="str">
        <x:v>ساري</x:v>
      </x:c>
      <x:c r="J79" s="28" t="str"/>
      <x:c r="K79" s="37" t="n">
        <x:v>1800</x:v>
      </x:c>
      <x:c r="L79" s="37" t="n">
        <x:v>6600</x:v>
      </x:c>
      <x:c r="M79" s="37" t="n">
        <x:v>500</x:v>
      </x:c>
      <x:c r="N79" s="37" t="n">
        <x:v>0</x:v>
      </x:c>
      <x:c r="O79" s="28" t="str">
        <x:v>نعم</x:v>
      </x:c>
      <x:c r="P79" s="28" t="str">
        <x:v>لا</x:v>
      </x:c>
      <x:c r="Q79" s="28" t="str">
        <x:v>إبقاء العقد ساريًا؛ لا تعديل على الهوية أو المركبة.</x:v>
      </x:c>
      <x:c r="R79" s="28" t="str">
        <x:v>عالٍ</x:v>
      </x:c>
      <x:c r="S79" s="28" t="str"/>
      <x:c r="T79" s="28" t="str"/>
      <x:c r="U79" s="28" t="str"/>
      <x:c r="V79" s="28" t="str">
        <x:v>عميل واحد</x:v>
      </x:c>
    </x:row>
    <x:row r="80" ht="38" customHeight="1">
      <x:c r="A80" s="28" t="str">
        <x:v>846485</x:v>
      </x:c>
      <x:c r="B80" s="28" t="str">
        <x:v>أسامة جريس</x:v>
      </x:c>
      <x:c r="C80" s="28" t="str">
        <x:v>أسامة جريس</x:v>
      </x:c>
      <x:c r="D80" s="85"/>
      <x:c r="E80" s="38" t="n">
        <x:v>0</x:v>
      </x:c>
      <x:c r="F80" s="28" t="str">
        <x:v>قرار إداري أحدث</x:v>
      </x:c>
      <x:c r="G80" s="28" t="str"/>
      <x:c r="H80" s="28" t="str"/>
      <x:c r="I80" s="28" t="str"/>
      <x:c r="J80" s="28" t="str"/>
      <x:c r="K80" s="37" t="n">
        <x:v>0</x:v>
      </x:c>
      <x:c r="L80" s="37" t="n">
        <x:v>0</x:v>
      </x:c>
      <x:c r="M80" s="37" t="n">
        <x:v>0</x:v>
      </x:c>
      <x:c r="N80" s="37" t="n">
        <x:v>0</x:v>
      </x:c>
      <x:c r="O80" s="28" t="str">
        <x:v>لا</x:v>
      </x:c>
      <x:c r="P80" s="28" t="str"/>
      <x:c r="Q80" s="28" t="str">
        <x:v>عهدة موظف أسامة: إبقاء الحالة reserved_employee وعدم إنشاء عقد إيجار.</x:v>
      </x:c>
      <x:c r="R80" s="28" t="str">
        <x:v>مؤكد بقرار أحدث</x:v>
      </x:c>
      <x:c r="S80" s="28" t="str"/>
      <x:c r="T80" s="28" t="str">
        <x:v>لا يوجد تاريخ/قسط في ملف الورد</x:v>
      </x:c>
      <x:c r="U80" s="28" t="str"/>
      <x:c r="V80" s="28" t="str">
        <x:v>عميل واحد</x:v>
      </x:c>
    </x:row>
    <x:row r="81" ht="38" customHeight="1">
      <x:c r="A81" s="28" t="str">
        <x:v>847601</x:v>
      </x:c>
      <x:c r="B81" s="28" t="str">
        <x:v>طارق محمد الرحالي</x:v>
      </x:c>
      <x:c r="C81" s="28" t="str">
        <x:v>طارق محمد الرحالي</x:v>
      </x:c>
      <x:c r="D81" s="85"/>
      <x:c r="E81" s="38" t="n">
        <x:v>0</x:v>
      </x:c>
      <x:c r="F81" s="28" t="str">
        <x:v>لا يوجد عقد حي</x:v>
      </x:c>
      <x:c r="G81" s="28" t="str"/>
      <x:c r="H81" s="28" t="str"/>
      <x:c r="I81" s="28" t="str"/>
      <x:c r="J81" s="28" t="str"/>
      <x:c r="K81" s="37" t="n">
        <x:v>0</x:v>
      </x:c>
      <x:c r="L81" s="37" t="n">
        <x:v>0</x:v>
      </x:c>
      <x:c r="M81" s="37" t="n">
        <x:v>0</x:v>
      </x:c>
      <x:c r="N81" s="37" t="n">
        <x:v>0</x:v>
      </x:c>
      <x:c r="O81" s="28" t="str">
        <x:v>لا</x:v>
      </x:c>
      <x:c r="P81" s="28" t="str"/>
      <x:c r="Q81" s="28" t="str">
        <x:v>استكمال هوية وملف موقّع وتاريخ التسليم، ثم إنشاء عقد جديد؛ لا يُنشأ عقد قانوني أو مطالبة آليًا من الاسم وحده.</x:v>
      </x:c>
      <x:c r="R81" s="28" t="str">
        <x:v>يحتاج اعتماد</x:v>
      </x:c>
      <x:c r="S81" s="28" t="str"/>
      <x:c r="T81" s="28" t="str">
        <x:v>لا يوجد تاريخ/قسط في ملف الورد</x:v>
      </x:c>
      <x:c r="U81" s="28" t="str"/>
      <x:c r="V81" s="28" t="str">
        <x:v>عميل واحد</x:v>
      </x:c>
    </x:row>
    <x:row r="82" ht="38" customHeight="1">
      <x:c r="A82" s="28" t="str">
        <x:v>847932</x:v>
      </x:c>
      <x:c r="B82" s="28" t="str">
        <x:v>حسن بن ساسی ظاهری</x:v>
      </x:c>
      <x:c r="C82" s="28" t="str">
        <x:v>حسن بن ساسی ظاهری</x:v>
      </x:c>
      <x:c r="D82" s="85" t="n">
        <x:v>45279</x:v>
      </x:c>
      <x:c r="E82" s="38" t="n">
        <x:v>2100</x:v>
      </x:c>
      <x:c r="F82" s="28" t="str">
        <x:v>قرار إداري أحدث</x:v>
      </x:c>
      <x:c r="G82" s="28" t="str"/>
      <x:c r="H82" s="28" t="str"/>
      <x:c r="I82" s="28" t="str"/>
      <x:c r="J82" s="28" t="str">
        <x:v>LTO20244 / 5901 / ساري</x:v>
      </x:c>
      <x:c r="K82" s="37" t="n">
        <x:v>0</x:v>
      </x:c>
      <x:c r="L82" s="37" t="n">
        <x:v>0</x:v>
      </x:c>
      <x:c r="M82" s="37" t="n">
        <x:v>0</x:v>
      </x:c>
      <x:c r="N82" s="37" t="n">
        <x:v>0</x:v>
      </x:c>
      <x:c r="O82" s="28" t="str">
        <x:v>لا</x:v>
      </x:c>
      <x:c r="P82" s="28" t="str"/>
      <x:c r="Q82" s="28" t="str">
        <x:v>إيجار منتهي بالتمليك ومدفوع: إبقاء خارج الخدمة لحين نقل الملكية.</x:v>
      </x:c>
      <x:c r="R82" s="28" t="str">
        <x:v>مؤكد بقرار أحدث</x:v>
      </x:c>
      <x:c r="S82" s="28" t="str"/>
      <x:c r="T82" s="28" t="str"/>
      <x:c r="U82" s="28" t="str"/>
      <x:c r="V82" s="28" t="str">
        <x:v>عميل واحد</x:v>
      </x:c>
    </x:row>
    <x:row r="83" ht="38" customHeight="1">
      <x:c r="A83" s="28" t="str">
        <x:v>4015</x:v>
      </x:c>
      <x:c r="B83" s="28" t="str">
        <x:v>إبراهيم خضر</x:v>
      </x:c>
      <x:c r="C83" s="28" t="str">
        <x:v>إبراهيم خضر</x:v>
      </x:c>
      <x:c r="D83" s="85" t="n">
        <x:v>45901</x:v>
      </x:c>
      <x:c r="E83" s="38" t="n">
        <x:v>1000</x:v>
      </x:c>
      <x:c r="F83" s="28" t="str">
        <x:v>مطابق</x:v>
      </x:c>
      <x:c r="G83" s="28" t="str">
        <x:v>C-ALF-0031</x:v>
      </x:c>
      <x:c r="H83" s="28" t="str">
        <x:v>إبراهيم خضر</x:v>
      </x:c>
      <x:c r="I83" s="28" t="str">
        <x:v>ساري</x:v>
      </x:c>
      <x:c r="J83" s="28" t="str"/>
      <x:c r="K83" s="37" t="n">
        <x:v>7000</x:v>
      </x:c>
      <x:c r="L83" s="37" t="n">
        <x:v>8000</x:v>
      </x:c>
      <x:c r="M83" s="37" t="n">
        <x:v>4700</x:v>
      </x:c>
      <x:c r="N83" s="37" t="n">
        <x:v>0</x:v>
      </x:c>
      <x:c r="O83" s="28" t="str">
        <x:v>لا</x:v>
      </x:c>
      <x:c r="P83" s="28" t="str">
        <x:v>لا</x:v>
      </x:c>
      <x:c r="Q83" s="28" t="str">
        <x:v>إبقاء العقد ساريًا؛ لا تعديل على الهوية أو المركبة.</x:v>
      </x:c>
      <x:c r="R83" s="28" t="str">
        <x:v>متوسط</x:v>
      </x:c>
      <x:c r="S83" s="28" t="str"/>
      <x:c r="T83" s="28" t="str"/>
      <x:c r="U83" s="28" t="str">
        <x:v>33750040</x:v>
      </x:c>
      <x:c r="V83" s="28" t="str">
        <x:v>عميل واحد</x:v>
      </x:c>
    </x:row>
    <x:row r="84" ht="38" customHeight="1">
      <x:c r="A84" s="28" t="str">
        <x:v>4016</x:v>
      </x:c>
      <x:c r="B84" s="28" t="str">
        <x:v>عبد الرزاق حمد حماد الهنيديس</x:v>
      </x:c>
      <x:c r="C84" s="28" t="str">
        <x:v>عبد الرزاق حمد حماد الهنيديس</x:v>
      </x:c>
      <x:c r="D84" s="85" t="n">
        <x:v>45992</x:v>
      </x:c>
      <x:c r="E84" s="38" t="n">
        <x:v>1600</x:v>
      </x:c>
      <x:c r="F84" s="28" t="str">
        <x:v>مطابق</x:v>
      </x:c>
      <x:c r="G84" s="28" t="str">
        <x:v>CON-25-ZV0RA7</x:v>
      </x:c>
      <x:c r="H84" s="28" t="str">
        <x:v>عبد الرزاق حمد حماد الهنيديس</x:v>
      </x:c>
      <x:c r="I84" s="28" t="str">
        <x:v>إجراء قانوني</x:v>
      </x:c>
      <x:c r="J84" s="28" t="str"/>
      <x:c r="K84" s="37" t="n">
        <x:v>6400</x:v>
      </x:c>
      <x:c r="L84" s="37" t="n">
        <x:v>30400</x:v>
      </x:c>
      <x:c r="M84" s="37" t="n">
        <x:v>0</x:v>
      </x:c>
      <x:c r="N84" s="37" t="n">
        <x:v>9500</x:v>
      </x:c>
      <x:c r="O84" s="28" t="str">
        <x:v>نعم</x:v>
      </x:c>
      <x:c r="P84" s="28" t="str">
        <x:v>لا</x:v>
      </x:c>
      <x:c r="Q84" s="28" t="str">
        <x:v>إبقاء العقد قانونيًا مع توثيق استمرار/انتهاء حيازة المركبة ومراجعة المطالبة الدورية.</x:v>
      </x:c>
      <x:c r="R84" s="28" t="str">
        <x:v>عالٍ</x:v>
      </x:c>
      <x:c r="S84" s="28" t="str"/>
      <x:c r="T84" s="28" t="str">
        <x:v>ام صلال</x:v>
      </x:c>
      <x:c r="U84" s="28" t="str"/>
      <x:c r="V84" s="28" t="str">
        <x:v>عميل واحد</x:v>
      </x:c>
    </x:row>
    <x:row r="85" ht="38" customHeight="1">
      <x:c r="A85" s="28" t="str">
        <x:v>4018</x:v>
      </x:c>
      <x:c r="B85" s="28" t="str">
        <x:v>عبد الرحيم شاكر احمد محمد</x:v>
      </x:c>
      <x:c r="C85" s="28" t="str">
        <x:v>عبد الرحيم شاكر احمد محمد</x:v>
      </x:c>
      <x:c r="D85" s="85" t="n">
        <x:v>45330</x:v>
      </x:c>
      <x:c r="E85" s="38" t="n">
        <x:v>1700</x:v>
      </x:c>
      <x:c r="F85" s="28" t="str">
        <x:v>مطابق مع تعارض موازٍ</x:v>
      </x:c>
      <x:c r="G85" s="28" t="str">
        <x:v>C-ALF-0033</x:v>
      </x:c>
      <x:c r="H85" s="28" t="str">
        <x:v>عبد الرحيم شاكر احمد محمد</x:v>
      </x:c>
      <x:c r="I85" s="28" t="str">
        <x:v>إجراء قانوني</x:v>
      </x:c>
      <x:c r="J85" s="28" t="str">
        <x:v>LTO2024109 / 9890 / ساري، C-ALF-0086 / 862169 / ساري</x:v>
      </x:c>
      <x:c r="K85" s="37" t="n">
        <x:v>25380</x:v>
      </x:c>
      <x:c r="L85" s="37" t="n">
        <x:v>11900</x:v>
      </x:c>
      <x:c r="M85" s="37" t="n">
        <x:v>500</x:v>
      </x:c>
      <x:c r="N85" s="37" t="n">
        <x:v>14040</x:v>
      </x:c>
      <x:c r="O85" s="28" t="str">
        <x:v>نعم</x:v>
      </x:c>
      <x:c r="P85" s="28" t="str">
        <x:v>لا</x:v>
      </x:c>
      <x:c r="Q85" s="28" t="str">
        <x:v>إبقاء العقد المطابق، وإغلاق عهدة العقد الموازي عند انتقال المركبة مع بقاء المطالبة القانونية مستقلة.</x:v>
      </x:c>
      <x:c r="R85" s="28" t="str">
        <x:v>يحتاج اعتماد</x:v>
      </x:c>
      <x:c r="S85" s="28" t="str"/>
      <x:c r="T85" s="28" t="str">
        <x:v>1700</x:v>
      </x:c>
      <x:c r="U85" s="28" t="str">
        <x:v>31310330</x:v>
      </x:c>
      <x:c r="V85" s="28" t="str">
        <x:v>عميل واحد</x:v>
      </x:c>
    </x:row>
    <x:row r="86" ht="38" customHeight="1">
      <x:c r="A86" s="28" t="str">
        <x:v>8203</x:v>
      </x:c>
      <x:c r="B86" s="28" t="str">
        <x:v>محمد عماد النعماني</x:v>
      </x:c>
      <x:c r="C86" s="28" t="str">
        <x:v>محمد عماد النعماني</x:v>
      </x:c>
      <x:c r="D86" s="85" t="n">
        <x:v>45934</x:v>
      </x:c>
      <x:c r="E86" s="38" t="n">
        <x:v>1600</x:v>
      </x:c>
      <x:c r="F86" s="28" t="str">
        <x:v>مطابق</x:v>
      </x:c>
      <x:c r="G86" s="28" t="str">
        <x:v>C-ALF-0070</x:v>
      </x:c>
      <x:c r="H86" s="28" t="str">
        <x:v>محمد عماد النعماني</x:v>
      </x:c>
      <x:c r="I86" s="28" t="str">
        <x:v>ساري</x:v>
      </x:c>
      <x:c r="J86" s="28" t="str"/>
      <x:c r="K86" s="37" t="n">
        <x:v>0</x:v>
      </x:c>
      <x:c r="L86" s="37" t="n">
        <x:v>6400</x:v>
      </x:c>
      <x:c r="M86" s="37" t="n">
        <x:v>1600</x:v>
      </x:c>
      <x:c r="N86" s="37" t="n">
        <x:v>0</x:v>
      </x:c>
      <x:c r="O86" s="28" t="str">
        <x:v>لا</x:v>
      </x:c>
      <x:c r="P86" s="28" t="str">
        <x:v>لا</x:v>
      </x:c>
      <x:c r="Q86" s="28" t="str">
        <x:v>إبقاء العقد ساريًا؛ لا تعديل على الهوية أو المركبة.</x:v>
      </x:c>
      <x:c r="R86" s="28" t="str">
        <x:v>متوسط</x:v>
      </x:c>
      <x:c r="S86" s="28" t="str"/>
      <x:c r="T86" s="28" t="str">
        <x:v>1600</x:v>
      </x:c>
      <x:c r="U86" s="28" t="str">
        <x:v>51230549 77387737</x:v>
      </x:c>
      <x:c r="V86" s="28" t="str">
        <x:v>عميل واحد</x:v>
      </x:c>
    </x:row>
    <x:row r="87" ht="38" customHeight="1">
      <x:c r="A87" s="28" t="str">
        <x:v>8204</x:v>
      </x:c>
      <x:c r="B87" s="28" t="str">
        <x:v>سيف الدين محمد صالح حسين</x:v>
      </x:c>
      <x:c r="C87" s="28" t="str">
        <x:v>سيف الدين محمد صالح حسين</x:v>
      </x:c>
      <x:c r="D87" s="85" t="n">
        <x:v>45783</x:v>
      </x:c>
      <x:c r="E87" s="38" t="n">
        <x:v>1500</x:v>
      </x:c>
      <x:c r="F87" s="28" t="str">
        <x:v>عقد باسم عميل آخر</x:v>
      </x:c>
      <x:c r="G87" s="28" t="str">
        <x:v>LTO2024150</x:v>
      </x:c>
      <x:c r="H87" s="28" t="str">
        <x:v>الحبيب الحوسين الخليفي</x:v>
      </x:c>
      <x:c r="I87" s="28" t="str">
        <x:v>إجراء قانوني</x:v>
      </x:c>
      <x:c r="J87" s="28" t="str"/>
      <x:c r="K87" s="37" t="n">
        <x:v>41495</x:v>
      </x:c>
      <x:c r="L87" s="37" t="n">
        <x:v>18000</x:v>
      </x:c>
      <x:c r="M87" s="37" t="n">
        <x:v>10800</x:v>
      </x:c>
      <x:c r="N87" s="37" t="n">
        <x:v>122215</x:v>
      </x:c>
      <x:c r="O87" s="28" t="str">
        <x:v>لا</x:v>
      </x:c>
      <x:c r="P87" s="28" t="str">
        <x:v>نعم</x:v>
      </x:c>
      <x:c r="Q87" s="28" t="str">
        <x:v>إنهاء عهدة العقد السابق عند 2025-05-06، احتساب المتأخر حتى القطع، ثم إنشاء/ربط عقد المستأجر الحالي بعد اعتماد الهوية.</x:v>
      </x:c>
      <x:c r="R87" s="28" t="str">
        <x:v>يحتاج اعتماد</x:v>
      </x:c>
      <x:c r="S87" s="28" t="str"/>
      <x:c r="T87" s="28" t="str">
        <x:v>1500 | لا يوجد نهاية في ملف الورد</x:v>
      </x:c>
      <x:c r="U87" s="28" t="str">
        <x:v>33773235</x:v>
      </x:c>
      <x:c r="V87" s="28" t="str">
        <x:v>عميل واحد</x:v>
      </x:c>
    </x:row>
    <x:row r="88" ht="38" customHeight="1">
      <x:c r="A88" s="28" t="str">
        <x:v>8206</x:v>
      </x:c>
      <x:c r="B88" s="28" t="str">
        <x:v>محمد علي سليم</x:v>
      </x:c>
      <x:c r="C88" s="28" t="str">
        <x:v>محمد علي سليم</x:v>
      </x:c>
      <x:c r="D88" s="85" t="n">
        <x:v>45839</x:v>
      </x:c>
      <x:c r="E88" s="38" t="n">
        <x:v>1500</x:v>
      </x:c>
      <x:c r="F88" s="28" t="str">
        <x:v>مطابق مع تعارض موازٍ</x:v>
      </x:c>
      <x:c r="G88" s="28" t="str">
        <x:v>C-ALF-0074، C-ALF-0071</x:v>
      </x:c>
      <x:c r="H88" s="28" t="str">
        <x:v>محمد علي سليم، محمد صالح فرج حامد</x:v>
      </x:c>
      <x:c r="I88" s="28" t="str">
        <x:v>ساري، إجراء قانوني</x:v>
      </x:c>
      <x:c r="J88" s="28" t="str"/>
      <x:c r="K88" s="37" t="n">
        <x:v>18000</x:v>
      </x:c>
      <x:c r="L88" s="37" t="n">
        <x:v>16500</x:v>
      </x:c>
      <x:c r="M88" s="37" t="n">
        <x:v>2100</x:v>
      </x:c>
      <x:c r="N88" s="37" t="n">
        <x:v>0</x:v>
      </x:c>
      <x:c r="O88" s="28" t="str">
        <x:v>لا</x:v>
      </x:c>
      <x:c r="P88" s="28" t="str">
        <x:v>لا</x:v>
      </x:c>
      <x:c r="Q88" s="28" t="str">
        <x:v>إبقاء العقد المطابق، وإغلاق عهدة العقد الموازي عند انتقال المركبة مع بقاء المطالبة القانونية مستقلة.</x:v>
      </x:c>
      <x:c r="R88" s="28" t="str">
        <x:v>يحتاج اعتماد</x:v>
      </x:c>
      <x:c r="S88" s="28" t="str"/>
      <x:c r="T88" s="28" t="str"/>
      <x:c r="U88" s="28" t="str">
        <x:v>30797703</x:v>
      </x:c>
      <x:c r="V88" s="28" t="str">
        <x:v>عميل واحد</x:v>
      </x:c>
    </x:row>
    <x:row r="89" ht="38" customHeight="1">
      <x:c r="A89" s="28" t="str">
        <x:v>8207</x:v>
      </x:c>
      <x:c r="B89" s="28" t="str">
        <x:v>حسن عبدالوهاب محمد الفكي</x:v>
      </x:c>
      <x:c r="C89" s="28" t="str">
        <x:v>حسن عبدالوهاب محمد الفكي</x:v>
      </x:c>
      <x:c r="D89" s="85" t="n">
        <x:v>45762</x:v>
      </x:c>
      <x:c r="E89" s="38" t="n">
        <x:v>1600</x:v>
      </x:c>
      <x:c r="F89" s="28" t="str">
        <x:v>مطابق</x:v>
      </x:c>
      <x:c r="G89" s="28" t="str">
        <x:v>C-ALF-0072</x:v>
      </x:c>
      <x:c r="H89" s="28" t="str">
        <x:v>حسن عبدالوهاب محمد الفكي</x:v>
      </x:c>
      <x:c r="I89" s="28" t="str">
        <x:v>ساري</x:v>
      </x:c>
      <x:c r="J89" s="28" t="str"/>
      <x:c r="K89" s="37" t="n">
        <x:v>26000</x:v>
      </x:c>
      <x:c r="L89" s="37" t="n">
        <x:v>12800</x:v>
      </x:c>
      <x:c r="M89" s="37" t="n">
        <x:v>2500</x:v>
      </x:c>
      <x:c r="N89" s="37" t="n">
        <x:v>0</x:v>
      </x:c>
      <x:c r="O89" s="28" t="str">
        <x:v>لا</x:v>
      </x:c>
      <x:c r="P89" s="28" t="str">
        <x:v>لا</x:v>
      </x:c>
      <x:c r="Q89" s="28" t="str">
        <x:v>إبقاء العقد ساريًا؛ لا تعديل على الهوية أو المركبة.</x:v>
      </x:c>
      <x:c r="R89" s="28" t="str">
        <x:v>متوسط</x:v>
      </x:c>
      <x:c r="S89" s="28" t="str"/>
      <x:c r="T89" s="28" t="str">
        <x:v>ام العمد</x:v>
      </x:c>
      <x:c r="U89" s="28" t="str">
        <x:v>51060253</x:v>
      </x:c>
      <x:c r="V89" s="28" t="str">
        <x:v>عميل واحد</x:v>
      </x:c>
    </x:row>
    <x:row r="90" ht="38" customHeight="1">
      <x:c r="A90" s="28" t="str">
        <x:v>8209</x:v>
      </x:c>
      <x:c r="B90" s="28" t="str">
        <x:v>طارق تطواني</x:v>
      </x:c>
      <x:c r="C90" s="28" t="str">
        <x:v>غير موجود في النظام</x:v>
      </x:c>
      <x:c r="D90" s="85"/>
      <x:c r="E90" s="38" t="n">
        <x:v>0</x:v>
      </x:c>
      <x:c r="F90" s="28" t="str">
        <x:v>لا يوجد عقد حي</x:v>
      </x:c>
      <x:c r="G90" s="28" t="str"/>
      <x:c r="H90" s="28" t="str"/>
      <x:c r="I90" s="28" t="str"/>
      <x:c r="J90" s="28" t="str"/>
      <x:c r="K90" s="37" t="n">
        <x:v>0</x:v>
      </x:c>
      <x:c r="L90" s="37" t="n">
        <x:v>0</x:v>
      </x:c>
      <x:c r="M90" s="37" t="n">
        <x:v>0</x:v>
      </x:c>
      <x:c r="N90" s="37" t="n">
        <x:v>0</x:v>
      </x:c>
      <x:c r="O90" s="28" t="str">
        <x:v>لا</x:v>
      </x:c>
      <x:c r="P90" s="28" t="str"/>
      <x:c r="Q90" s="28" t="str">
        <x:v>استكمال هوية وملف موقّع وتاريخ التسليم، ثم إنشاء عقد جديد؛ لا يُنشأ عقد قانوني أو مطالبة آليًا من الاسم وحده.</x:v>
      </x:c>
      <x:c r="R90" s="28" t="str">
        <x:v>يحتاج اعتماد</x:v>
      </x:c>
      <x:c r="S90" s="28" t="str"/>
      <x:c r="T90" s="28" t="str">
        <x:v>لا يوجد تاريخ/قسط في ملف الورد</x:v>
      </x:c>
      <x:c r="U90" s="28" t="str"/>
      <x:c r="V90" s="28" t="str">
        <x:v>غير موجود</x:v>
      </x:c>
    </x:row>
    <x:row r="91" ht="38" customHeight="1">
      <x:c r="A91" s="28" t="str">
        <x:v>8211</x:v>
      </x:c>
      <x:c r="B91" s="28" t="str">
        <x:v>علي هلال الصخري</x:v>
      </x:c>
      <x:c r="C91" s="28" t="str">
        <x:v>علي هلال الصخري</x:v>
      </x:c>
      <x:c r="D91" s="85" t="n">
        <x:v>45809</x:v>
      </x:c>
      <x:c r="E91" s="38" t="n">
        <x:v>1500</x:v>
      </x:c>
      <x:c r="F91" s="28" t="str">
        <x:v>مطابق</x:v>
      </x:c>
      <x:c r="G91" s="28" t="str">
        <x:v>C-ALF-0076</x:v>
      </x:c>
      <x:c r="H91" s="28" t="str">
        <x:v>علي هلال الصخري</x:v>
      </x:c>
      <x:c r="I91" s="28" t="str">
        <x:v>ساري</x:v>
      </x:c>
      <x:c r="J91" s="28" t="str"/>
      <x:c r="K91" s="37" t="n">
        <x:v>7250</x:v>
      </x:c>
      <x:c r="L91" s="37" t="n">
        <x:v>19500</x:v>
      </x:c>
      <x:c r="M91" s="37" t="n">
        <x:v>3200</x:v>
      </x:c>
      <x:c r="N91" s="37" t="n">
        <x:v>0</x:v>
      </x:c>
      <x:c r="O91" s="28" t="str">
        <x:v>لا</x:v>
      </x:c>
      <x:c r="P91" s="28" t="str">
        <x:v>لا</x:v>
      </x:c>
      <x:c r="Q91" s="28" t="str">
        <x:v>إبقاء العقد ساريًا؛ لا تعديل على الهوية أو المركبة.</x:v>
      </x:c>
      <x:c r="R91" s="28" t="str">
        <x:v>متوسط</x:v>
      </x:c>
      <x:c r="S91" s="28" t="str"/>
      <x:c r="T91" s="28" t="str">
        <x:v>شهر 71500</x:v>
      </x:c>
      <x:c r="U91" s="28" t="str">
        <x:v>50447989</x:v>
      </x:c>
      <x:c r="V91" s="28" t="str">
        <x:v>عميل واحد</x:v>
      </x:c>
    </x:row>
    <x:row r="92" ht="38" customHeight="1">
      <x:c r="A92" s="28" t="str">
        <x:v>8212</x:v>
      </x:c>
      <x:c r="B92" s="28" t="str">
        <x:v>عمر محمد الفكي</x:v>
      </x:c>
      <x:c r="C92" s="28" t="str">
        <x:v>عمر محمد الفكي</x:v>
      </x:c>
      <x:c r="D92" s="85" t="n">
        <x:v>45778</x:v>
      </x:c>
      <x:c r="E92" s="38" t="n">
        <x:v>1500</x:v>
      </x:c>
      <x:c r="F92" s="28" t="str">
        <x:v>مطابق</x:v>
      </x:c>
      <x:c r="G92" s="28" t="str">
        <x:v>AGR-202504-405141</x:v>
      </x:c>
      <x:c r="H92" s="28" t="str">
        <x:v>عمر محمد الفكي</x:v>
      </x:c>
      <x:c r="I92" s="28" t="str">
        <x:v>ساري</x:v>
      </x:c>
      <x:c r="J92" s="28" t="str"/>
      <x:c r="K92" s="37" t="n">
        <x:v>1470</x:v>
      </x:c>
      <x:c r="L92" s="37" t="n">
        <x:v>25600</x:v>
      </x:c>
      <x:c r="M92" s="37" t="n">
        <x:v>3600</x:v>
      </x:c>
      <x:c r="N92" s="37" t="n">
        <x:v>0</x:v>
      </x:c>
      <x:c r="O92" s="28" t="str">
        <x:v>لا</x:v>
      </x:c>
      <x:c r="P92" s="28" t="str">
        <x:v>لا</x:v>
      </x:c>
      <x:c r="Q92" s="28" t="str">
        <x:v>إبقاء العقد ساريًا؛ لا تعديل على الهوية أو المركبة.</x:v>
      </x:c>
      <x:c r="R92" s="28" t="str">
        <x:v>متوسط</x:v>
      </x:c>
      <x:c r="S92" s="28" t="str"/>
      <x:c r="T92" s="28" t="str"/>
      <x:c r="U92" s="28" t="str">
        <x:v>50055884</x:v>
      </x:c>
      <x:c r="V92" s="28" t="str">
        <x:v>عميل واحد</x:v>
      </x:c>
    </x:row>
    <x:row r="93" ht="38" customHeight="1">
      <x:c r="A93" s="28" t="str">
        <x:v>8213</x:v>
      </x:c>
      <x:c r="B93" s="28" t="str">
        <x:v>يسري بوز عيبة</x:v>
      </x:c>
      <x:c r="C93" s="28" t="str">
        <x:v>يسري بوز عيبة</x:v>
      </x:c>
      <x:c r="D93" s="85" t="n">
        <x:v>45688</x:v>
      </x:c>
      <x:c r="E93" s="38" t="n">
        <x:v>1500</x:v>
      </x:c>
      <x:c r="F93" s="28" t="str">
        <x:v>لا يوجد عقد حي</x:v>
      </x:c>
      <x:c r="G93" s="28" t="str"/>
      <x:c r="H93" s="28" t="str"/>
      <x:c r="I93" s="28" t="str"/>
      <x:c r="J93" s="28" t="str"/>
      <x:c r="K93" s="37" t="n">
        <x:v>0</x:v>
      </x:c>
      <x:c r="L93" s="37" t="n">
        <x:v>0</x:v>
      </x:c>
      <x:c r="M93" s="37" t="n">
        <x:v>0</x:v>
      </x:c>
      <x:c r="N93" s="37" t="n">
        <x:v>0</x:v>
      </x:c>
      <x:c r="O93" s="28" t="str">
        <x:v>لا</x:v>
      </x:c>
      <x:c r="P93" s="28" t="str"/>
      <x:c r="Q93" s="28" t="str">
        <x:v>استكمال هوية وملف موقّع وتاريخ التسليم، ثم إنشاء عقد جديد؛ لا يُنشأ عقد قانوني أو مطالبة آليًا من الاسم وحده.</x:v>
      </x:c>
      <x:c r="R93" s="28" t="str">
        <x:v>يحتاج اعتماد</x:v>
      </x:c>
      <x:c r="S93" s="28" t="str"/>
      <x:c r="T93" s="28" t="str">
        <x:v>شهر 61500</x:v>
      </x:c>
      <x:c r="U93" s="28" t="str">
        <x:v>51039263</x:v>
      </x:c>
      <x:c r="V93" s="28" t="str">
        <x:v>غير موجود</x:v>
      </x:c>
    </x:row>
  </x:sheetData>
  <x:mergeCells>
    <x:mergeCell ref="A1:V1"/>
    <x:mergeCell ref="A2:V2"/>
  </x:mergeCells>
  <x:conditionalFormatting sqref="F5:F93">
    <x:cfRule type="containsText" dxfId="0" priority="1" operator="containsText" text="مطابق"/>
    <x:cfRule type="containsText" dxfId="1" priority="2" operator="containsText" text="عميل آخر"/>
    <x:cfRule type="containsText" dxfId="2" priority="3" operator="containsText" text="لا يوجد"/>
  </x:conditionalFormatting>
  <x:dataValidations count="1">
    <x:dataValidation type="list" sqref="S5:S93">
      <x:formula1>"اعتماد,مراجعة,رفض,مؤجل"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9239f6fc74440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14" hidden="0" customWidth="1"/>
    <x:col min="4" max="4" width="20" hidden="0" customWidth="1"/>
    <x:col min="5" max="5" width="28" hidden="0" customWidth="1"/>
    <x:col min="6" max="6" width="16" hidden="0" customWidth="1"/>
    <x:col min="7" max="7" width="15" hidden="0" customWidth="1"/>
    <x:col min="8" max="8" width="16" hidden="0" customWidth="1"/>
    <x:col min="9" max="9" width="14" hidden="0" customWidth="1"/>
    <x:col min="10" max="10" width="14" hidden="0" customWidth="1"/>
    <x:col min="11" max="11" width="12" hidden="0" customWidth="1"/>
    <x:col min="12" max="12" width="16" hidden="0" customWidth="1"/>
    <x:col min="13" max="13" width="16" hidden="0" customWidth="1"/>
    <x:col min="14" max="14" width="18" hidden="0" customWidth="1"/>
    <x:col min="15" max="15" width="18" hidden="0" customWidth="1"/>
    <x:col min="16" max="16" width="18" hidden="0" customWidth="1"/>
    <x:col min="17" max="17" width="20" hidden="0" customWidth="1"/>
    <x:col min="18" max="18" width="18" hidden="0" customWidth="1"/>
    <x:col min="19" max="19" width="20" hidden="0" customWidth="1"/>
    <x:col min="20" max="20" width="16" hidden="0" customWidth="1"/>
    <x:col min="21" max="21" width="16" hidden="0" customWidth="1"/>
    <x:col min="22" max="22" width="16" hidden="0" customWidth="1"/>
    <x:col min="23" max="23" width="12" hidden="0" customWidth="1"/>
    <x:col min="24" max="24" width="14" hidden="0" customWidth="1"/>
    <x:col min="25" max="25" width="42" hidden="0" customWidth="1"/>
    <x:col min="26" max="26" width="42" hidden="0" customWidth="1"/>
  </x:cols>
  <x:sheetData>
    <x:row r="1" ht="34" customHeight="1">
      <x:c r="A1" s="4" t="str">
        <x:v>التعارضات والمطالبات المالية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2" customHeight="1">
      <x:c r="A2" s="9" t="str">
        <x:v>المطالبة المبدئية للاستخدام في المراجعة فقط. العمود T = أساس الإيجار + أساس المخالفات، والعمود V يقيس زيادة القضية القائمة عن هذا الأساس.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</x:row>
    <x:row r="4" ht="34" customHeight="1">
      <x:c r="A4" s="18" t="str">
        <x:v>اللوحة</x:v>
      </x:c>
      <x:c r="B4" s="84" t="str">
        <x:v>مستأجر أغسطس</x:v>
      </x:c>
      <x:c r="C4" s="84" t="str">
        <x:v>بداية العقد الجديد</x:v>
      </x:c>
      <x:c r="D4" s="84" t="str">
        <x:v>رقم العقد</x:v>
      </x:c>
      <x:c r="E4" s="84" t="str">
        <x:v>عميل العقد</x:v>
      </x:c>
      <x:c r="F4" s="84" t="str">
        <x:v>الحالة</x:v>
      </x:c>
      <x:c r="G4" s="84" t="str">
        <x:v>المركبة مُعادة؟</x:v>
      </x:c>
      <x:c r="H4" s="84" t="str">
        <x:v>مطابق للمستأجر؟</x:v>
      </x:c>
      <x:c r="I4" s="84" t="str">
        <x:v>بداية العقد</x:v>
      </x:c>
      <x:c r="J4" s="84" t="str">
        <x:v>نهاية العقد</x:v>
      </x:c>
      <x:c r="K4" s="84" t="str">
        <x:v>القسط</x:v>
      </x:c>
      <x:c r="L4" s="84" t="str">
        <x:v>رصيد العقد المخزن</x:v>
      </x:c>
      <x:c r="M4" s="84" t="str">
        <x:v>المستحق حتى أغسطس</x:v>
      </x:c>
      <x:c r="N4" s="84" t="str">
        <x:v>المستحق قبل بداية الجديد</x:v>
      </x:c>
      <x:c r="O4" s="84" t="str">
        <x:v>الرصيد المستقبلي بعد أغسطس</x:v>
      </x:c>
      <x:c r="P4" s="84" t="str">
        <x:v>مخالفات غير مسددة</x:v>
      </x:c>
      <x:c r="Q4" s="84" t="str">
        <x:v>مخالفات قبل بداية الجديد</x:v>
      </x:c>
      <x:c r="R4" s="84" t="str">
        <x:v>أساس الإيجار المقترح</x:v>
      </x:c>
      <x:c r="S4" s="84" t="str">
        <x:v>أساس المخالفات المقترح</x:v>
      </x:c>
      <x:c r="T4" s="84" t="str">
        <x:v>مطالبة مبدئية</x:v>
      </x:c>
      <x:c r="U4" s="84" t="str">
        <x:v>قيمة القضية القائمة</x:v>
      </x:c>
      <x:c r="V4" s="84" t="str">
        <x:v>فرق التضخيم</x:v>
      </x:c>
      <x:c r="W4" s="84" t="str">
        <x:v>ملف موقع</x:v>
      </x:c>
      <x:c r="X4" s="84" t="str">
        <x:v>فجوة فوترة</x:v>
      </x:c>
      <x:c r="Y4" s="84" t="str">
        <x:v>الإجراء</x:v>
      </x:c>
      <x:c r="Z4" s="19" t="str">
        <x:v>ملاحظات</x:v>
      </x:c>
    </x:row>
    <x:row r="5" ht="38" customHeight="1">
      <x:c r="A5" s="27" t="str">
        <x:v>706150</x:v>
      </x:c>
      <x:c r="B5" s="27" t="str">
        <x:v>ألياس يعقوبي</x:v>
      </x:c>
      <x:c r="C5" s="29" t="n">
        <x:v>46082</x:v>
      </x:c>
      <x:c r="D5" s="27" t="str">
        <x:v>C-ALF-0058</x:v>
      </x:c>
      <x:c r="E5" s="27" t="str">
        <x:v>مروان باكير</x:v>
      </x:c>
      <x:c r="F5" s="27" t="str">
        <x:v>إجراء قانوني</x:v>
      </x:c>
      <x:c r="G5" s="27" t="str">
        <x:v>لا</x:v>
      </x:c>
      <x:c r="H5" s="27" t="str">
        <x:v>لا</x:v>
      </x:c>
      <x:c r="I5" s="29" t="n">
        <x:v>45849</x:v>
      </x:c>
      <x:c r="J5" s="29" t="n">
        <x:v>46945</x:v>
      </x:c>
      <x:c r="K5" s="36" t="n">
        <x:v>1600</x:v>
      </x:c>
      <x:c r="L5" s="36" t="n">
        <x:v>56000</x:v>
      </x:c>
      <x:c r="M5" s="36" t="n">
        <x:v>16000</x:v>
      </x:c>
      <x:c r="N5" s="36" t="n">
        <x:v>8000</x:v>
      </x:c>
      <x:c r="O5" s="36" t="n">
        <x:v>6400</x:v>
      </x:c>
      <x:c r="P5" s="36" t="n">
        <x:v>2000</x:v>
      </x:c>
      <x:c r="Q5" s="36" t="n">
        <x:v>0</x:v>
      </x:c>
      <x:c r="R5" s="36" t="n">
        <x:v>8000</x:v>
      </x:c>
      <x:c r="S5" s="36" t="n">
        <x:v>0</x:v>
      </x:c>
      <x:c r="T5" s="36" t="n">
        <x:f>R5+S5</x:f>
        <x:v>8000</x:v>
      </x:c>
      <x:c r="U5" s="36" t="n">
        <x:v>58000</x:v>
      </x:c>
      <x:c r="V5" s="36" t="n">
        <x:f>MAX(0,U5-T5)</x:f>
        <x:v>50000</x:v>
      </x:c>
      <x:c r="W5" s="27" t="str">
        <x:v>نعم</x:v>
      </x:c>
      <x:c r="X5" s="27" t="str">
        <x:v>لا</x:v>
      </x:c>
      <x:c r="Y5" s="27" t="str">
        <x:v>إلغاء/إنهاء عهدة القديم عند بداية الجديد، وإبقاء المطالبة حتى القطع فقط.</x:v>
      </x:c>
      <x:c r="Z5" s="27" t="str">
        <x:v>المبلغ المقترح يستبعد ما بعد بداية المستأجر الجديد.، قضية: CASE-26-0058</x:v>
      </x:c>
    </x:row>
    <x:row r="6" ht="38" customHeight="1">
      <x:c r="A6" s="28" t="str">
        <x:v>856718</x:v>
      </x:c>
      <x:c r="B6" s="28" t="str">
        <x:v>حسان بو علاق</x:v>
      </x:c>
      <x:c r="C6" s="85" t="n">
        <x:v>45702</x:v>
      </x:c>
      <x:c r="D6" s="28" t="str">
        <x:v>AGR-202504-406129</x:v>
      </x:c>
      <x:c r="E6" s="28" t="str">
        <x:v>حسان بو علاق</x:v>
      </x:c>
      <x:c r="F6" s="28" t="str">
        <x:v>إجراء قانوني</x:v>
      </x:c>
      <x:c r="G6" s="28" t="str">
        <x:v>لا</x:v>
      </x:c>
      <x:c r="H6" s="28" t="str">
        <x:v>نعم</x:v>
      </x:c>
      <x:c r="I6" s="85" t="n">
        <x:v>45689</x:v>
      </x:c>
      <x:c r="J6" s="85" t="n">
        <x:v>46762</x:v>
      </x:c>
      <x:c r="K6" s="37" t="n">
        <x:v>1700</x:v>
      </x:c>
      <x:c r="L6" s="37" t="n">
        <x:v>45848</x:v>
      </x:c>
      <x:c r="M6" s="37" t="n">
        <x:v>13548</x:v>
      </x:c>
      <x:c r="N6" s="37" t="n">
        <x:v>0</x:v>
      </x:c>
      <x:c r="O6" s="37" t="n">
        <x:v>27200</x:v>
      </x:c>
      <x:c r="P6" s="37" t="n">
        <x:v>12200</x:v>
      </x:c>
      <x:c r="Q6" s="37" t="n">
        <x:v>0</x:v>
      </x:c>
      <x:c r="R6" s="37" t="n">
        <x:v>13548</x:v>
      </x:c>
      <x:c r="S6" s="37" t="n">
        <x:v>12200</x:v>
      </x:c>
      <x:c r="T6" s="37" t="n">
        <x:f>R6+S6</x:f>
        <x:v>25748</x:v>
      </x:c>
      <x:c r="U6" s="37" t="n">
        <x:v>50348</x:v>
      </x:c>
      <x:c r="V6" s="37" t="n">
        <x:f>MAX(0,U6-T6)</x:f>
        <x:v>24600</x:v>
      </x:c>
      <x:c r="W6" s="28" t="str">
        <x:v>لا</x:v>
      </x:c>
      <x:c r="X6" s="28" t="str">
        <x:v>لا</x:v>
      </x:c>
      <x:c r="Y6" s="28" t="str">
        <x:v>مراجعة المطالبة حتى أغسطس وتوثيق استمرار الحيازة أو تاريخ انتهائها.</x:v>
      </x:c>
      <x:c r="Z6" s="28" t="str">
        <x:v>قضية: CASE-26-0018</x:v>
      </x:c>
    </x:row>
    <x:row r="7" ht="38" customHeight="1">
      <x:c r="A7" s="28" t="str">
        <x:v>857045</x:v>
      </x:c>
      <x:c r="B7" s="28" t="str">
        <x:v>عمارة خرّوبي</x:v>
      </x:c>
      <x:c r="C7" s="85" t="n">
        <x:v>45293</x:v>
      </x:c>
      <x:c r="D7" s="28" t="str">
        <x:v>C-ALF-0083</x:v>
      </x:c>
      <x:c r="E7" s="28" t="str">
        <x:v>عمارة خرّوبي</x:v>
      </x:c>
      <x:c r="F7" s="28" t="str">
        <x:v>إجراء قانوني</x:v>
      </x:c>
      <x:c r="G7" s="28" t="str">
        <x:v>لا</x:v>
      </x:c>
      <x:c r="H7" s="28" t="str">
        <x:v>نعم</x:v>
      </x:c>
      <x:c r="I7" s="85" t="n">
        <x:v>45293</x:v>
      </x:c>
      <x:c r="J7" s="85" t="n">
        <x:v>46387</x:v>
      </x:c>
      <x:c r="K7" s="37" t="n">
        <x:v>2000</x:v>
      </x:c>
      <x:c r="L7" s="37" t="n">
        <x:v>10750</x:v>
      </x:c>
      <x:c r="M7" s="37" t="n">
        <x:v>9350</x:v>
      </x:c>
      <x:c r="N7" s="37" t="n">
        <x:v>0</x:v>
      </x:c>
      <x:c r="O7" s="37" t="n">
        <x:v>8000</x:v>
      </x:c>
      <x:c r="P7" s="37" t="n">
        <x:v>6100</x:v>
      </x:c>
      <x:c r="Q7" s="37" t="n">
        <x:v>0</x:v>
      </x:c>
      <x:c r="R7" s="37" t="n">
        <x:v>9350</x:v>
      </x:c>
      <x:c r="S7" s="37" t="n">
        <x:v>6100</x:v>
      </x:c>
      <x:c r="T7" s="37" t="n">
        <x:f>R7+S7</x:f>
        <x:v>15450</x:v>
      </x:c>
      <x:c r="U7" s="37" t="n">
        <x:v>0</x:v>
      </x:c>
      <x:c r="V7" s="37" t="n">
        <x:f>MAX(0,U7-T7)</x:f>
        <x:v>0</x:v>
      </x:c>
      <x:c r="W7" s="28" t="str">
        <x:v>نعم</x:v>
      </x:c>
      <x:c r="X7" s="28" t="str">
        <x:v>لا</x:v>
      </x:c>
      <x:c r="Y7" s="28" t="str">
        <x:v>مراجعة المطالبة حتى أغسطس وتوثيق استمرار الحيازة أو تاريخ انتهائها.</x:v>
      </x:c>
      <x:c r="Z7" s="28" t="str"/>
    </x:row>
    <x:row r="8" ht="38" customHeight="1">
      <x:c r="A8" s="28" t="str">
        <x:v>857051</x:v>
      </x:c>
      <x:c r="B8" s="28" t="str">
        <x:v>فخري الدين عثمان</x:v>
      </x:c>
      <x:c r="C8" s="85" t="n">
        <x:v>46222</x:v>
      </x:c>
      <x:c r="D8" s="28" t="str">
        <x:v>LTO2024152</x:v>
      </x:c>
      <x:c r="E8" s="28" t="str">
        <x:v>هاني هشام</x:v>
      </x:c>
      <x:c r="F8" s="28" t="str">
        <x:v>ساري</x:v>
      </x:c>
      <x:c r="G8" s="28" t="str">
        <x:v>لا</x:v>
      </x:c>
      <x:c r="H8" s="28" t="str">
        <x:v>لا</x:v>
      </x:c>
      <x:c r="I8" s="85" t="n">
        <x:v>45601</x:v>
      </x:c>
      <x:c r="J8" s="85" t="n">
        <x:v>46696</x:v>
      </x:c>
      <x:c r="K8" s="37" t="n">
        <x:v>1500</x:v>
      </x:c>
      <x:c r="L8" s="37" t="n">
        <x:v>55500</x:v>
      </x:c>
      <x:c r="M8" s="37" t="n">
        <x:v>0</x:v>
      </x:c>
      <x:c r="N8" s="37" t="n">
        <x:v>0</x:v>
      </x:c>
      <x:c r="O8" s="37" t="n">
        <x:v>0</x:v>
      </x:c>
      <x:c r="P8" s="37" t="n">
        <x:v>15100</x:v>
      </x:c>
      <x:c r="Q8" s="37" t="n">
        <x:v>15100</x:v>
      </x:c>
      <x:c r="R8" s="37" t="n">
        <x:v>0</x:v>
      </x:c>
      <x:c r="S8" s="37" t="n">
        <x:v>15100</x:v>
      </x:c>
      <x:c r="T8" s="37" t="n">
        <x:f>R8+S8</x:f>
        <x:v>15100</x:v>
      </x:c>
      <x:c r="U8" s="37" t="n">
        <x:v>0</x:v>
      </x:c>
      <x:c r="V8" s="37" t="n">
        <x:f>MAX(0,U8-T8)</x:f>
        <x:v>0</x:v>
      </x:c>
      <x:c r="W8" s="28" t="str">
        <x:v>نعم</x:v>
      </x:c>
      <x:c r="X8" s="28" t="str">
        <x:v>نعم</x:v>
      </x:c>
      <x:c r="Y8" s="28" t="str">
        <x:v>إلغاء/إنهاء عهدة القديم عند بداية الجديد، وإبقاء المطالبة حتى القطع فقط.</x:v>
      </x:c>
      <x:c r="Z8" s="28" t="str">
        <x:v>لا توجد فواتير إيجار رغم وجود رصيد عقد.، المبلغ المقترح يستبعد ما بعد بداية المستأجر الجديد.</x:v>
      </x:c>
    </x:row>
    <x:row r="9" ht="38" customHeight="1">
      <x:c r="A9" s="28" t="str">
        <x:v>2766</x:v>
      </x:c>
      <x:c r="B9" s="28" t="str">
        <x:v>محمد محمد أحمد محمد</x:v>
      </x:c>
      <x:c r="C9" s="85" t="n">
        <x:v>45693</x:v>
      </x:c>
      <x:c r="D9" s="28" t="str">
        <x:v>AGR-202504-424958</x:v>
      </x:c>
      <x:c r="E9" s="28" t="str">
        <x:v>محمد محمد أحمد محمد</x:v>
      </x:c>
      <x:c r="F9" s="28" t="str">
        <x:v>إجراء قانوني</x:v>
      </x:c>
      <x:c r="G9" s="28" t="str">
        <x:v>لا</x:v>
      </x:c>
      <x:c r="H9" s="28" t="str">
        <x:v>نعم</x:v>
      </x:c>
      <x:c r="I9" s="85" t="n">
        <x:v>45693</x:v>
      </x:c>
      <x:c r="J9" s="85" t="n">
        <x:v>46572</x:v>
      </x:c>
      <x:c r="K9" s="37" t="n">
        <x:v>1600</x:v>
      </x:c>
      <x:c r="L9" s="37" t="n">
        <x:v>20625</x:v>
      </x:c>
      <x:c r="M9" s="37" t="n">
        <x:v>12800</x:v>
      </x:c>
      <x:c r="N9" s="37" t="n">
        <x:v>0</x:v>
      </x:c>
      <x:c r="O9" s="37" t="n">
        <x:v>38400</x:v>
      </x:c>
      <x:c r="P9" s="37" t="n">
        <x:v>3800</x:v>
      </x:c>
      <x:c r="Q9" s="37" t="n">
        <x:v>0</x:v>
      </x:c>
      <x:c r="R9" s="37" t="n">
        <x:v>12800</x:v>
      </x:c>
      <x:c r="S9" s="37" t="n">
        <x:v>3800</x:v>
      </x:c>
      <x:c r="T9" s="37" t="n">
        <x:f>R9+S9</x:f>
        <x:v>16600</x:v>
      </x:c>
      <x:c r="U9" s="37" t="n">
        <x:v>12325</x:v>
      </x:c>
      <x:c r="V9" s="37" t="n">
        <x:f>MAX(0,U9-T9)</x:f>
        <x:v>0</x:v>
      </x:c>
      <x:c r="W9" s="28" t="str">
        <x:v>لا</x:v>
      </x:c>
      <x:c r="X9" s="28" t="str">
        <x:v>لا</x:v>
      </x:c>
      <x:c r="Y9" s="28" t="str">
        <x:v>مراجعة المطالبة حتى أغسطس وتوثيق استمرار الحيازة أو تاريخ انتهائها.</x:v>
      </x:c>
      <x:c r="Z9" s="28" t="str">
        <x:v>قضية: CASE-26-0053</x:v>
      </x:c>
    </x:row>
    <x:row r="10" ht="38" customHeight="1">
      <x:c r="A10" s="28" t="str">
        <x:v>2769</x:v>
      </x:c>
      <x:c r="B10" s="28" t="str">
        <x:v>وضاح عبد الله احمد العبيد</x:v>
      </x:c>
      <x:c r="C10" s="85" t="n">
        <x:v>45647</x:v>
      </x:c>
      <x:c r="D10" s="28" t="str">
        <x:v>C-ALF-0014</x:v>
      </x:c>
      <x:c r="E10" s="28" t="str">
        <x:v>وضاح عبد الله احمد العبيد</x:v>
      </x:c>
      <x:c r="F10" s="28" t="str">
        <x:v>إجراء قانوني</x:v>
      </x:c>
      <x:c r="G10" s="28" t="str">
        <x:v>لا</x:v>
      </x:c>
      <x:c r="H10" s="28" t="str">
        <x:v>نعم</x:v>
      </x:c>
      <x:c r="I10" s="85" t="n">
        <x:v>45647</x:v>
      </x:c>
      <x:c r="J10" s="85" t="n">
        <x:v>46387</x:v>
      </x:c>
      <x:c r="K10" s="37" t="n">
        <x:v>1500</x:v>
      </x:c>
      <x:c r="L10" s="37" t="n">
        <x:v>23000</x:v>
      </x:c>
      <x:c r="M10" s="37" t="n">
        <x:v>15000</x:v>
      </x:c>
      <x:c r="N10" s="37" t="n">
        <x:v>0</x:v>
      </x:c>
      <x:c r="O10" s="37" t="n">
        <x:v>6000</x:v>
      </x:c>
      <x:c r="P10" s="37" t="n">
        <x:v>6800</x:v>
      </x:c>
      <x:c r="Q10" s="37" t="n">
        <x:v>0</x:v>
      </x:c>
      <x:c r="R10" s="37" t="n">
        <x:v>15000</x:v>
      </x:c>
      <x:c r="S10" s="37" t="n">
        <x:v>6800</x:v>
      </x:c>
      <x:c r="T10" s="37" t="n">
        <x:f>R10+S10</x:f>
        <x:v>21800</x:v>
      </x:c>
      <x:c r="U10" s="37" t="n">
        <x:v>30600</x:v>
      </x:c>
      <x:c r="V10" s="37" t="n">
        <x:f>MAX(0,U10-T10)</x:f>
        <x:v>8800</x:v>
      </x:c>
      <x:c r="W10" s="28" t="str">
        <x:v>نعم</x:v>
      </x:c>
      <x:c r="X10" s="28" t="str">
        <x:v>لا</x:v>
      </x:c>
      <x:c r="Y10" s="28" t="str">
        <x:v>مراجعة المطالبة حتى أغسطس وتوثيق استمرار الحيازة أو تاريخ انتهائها.</x:v>
      </x:c>
      <x:c r="Z10" s="28" t="str">
        <x:v>قضية: CASE-26-0028</x:v>
      </x:c>
    </x:row>
    <x:row r="11" ht="38" customHeight="1">
      <x:c r="A11" s="28" t="str">
        <x:v>2778</x:v>
      </x:c>
      <x:c r="B11" s="28" t="str">
        <x:v>بلال اليعقوبي</x:v>
      </x:c>
      <x:c r="C11" s="85" t="n">
        <x:v>45853</x:v>
      </x:c>
      <x:c r="D11" s="28" t="str">
        <x:v>C-ALF-0023</x:v>
      </x:c>
      <x:c r="E11" s="28" t="str">
        <x:v>بلال اليعقوبي</x:v>
      </x:c>
      <x:c r="F11" s="28" t="str">
        <x:v>إجراء قانوني</x:v>
      </x:c>
      <x:c r="G11" s="28" t="str">
        <x:v>لا</x:v>
      </x:c>
      <x:c r="H11" s="28" t="str">
        <x:v>نعم</x:v>
      </x:c>
      <x:c r="I11" s="85" t="n">
        <x:v>45853</x:v>
      </x:c>
      <x:c r="J11" s="85" t="n">
        <x:v>46387</x:v>
      </x:c>
      <x:c r="K11" s="37" t="n">
        <x:v>1500</x:v>
      </x:c>
      <x:c r="L11" s="37" t="n">
        <x:v>23000</x:v>
      </x:c>
      <x:c r="M11" s="37" t="n">
        <x:v>17000</x:v>
      </x:c>
      <x:c r="N11" s="37" t="n">
        <x:v>0</x:v>
      </x:c>
      <x:c r="O11" s="37" t="n">
        <x:v>6000</x:v>
      </x:c>
      <x:c r="P11" s="37" t="n">
        <x:v>5400</x:v>
      </x:c>
      <x:c r="Q11" s="37" t="n">
        <x:v>0</x:v>
      </x:c>
      <x:c r="R11" s="37" t="n">
        <x:v>17000</x:v>
      </x:c>
      <x:c r="S11" s="37" t="n">
        <x:v>5400</x:v>
      </x:c>
      <x:c r="T11" s="37" t="n">
        <x:f>R11+S11</x:f>
        <x:v>22400</x:v>
      </x:c>
      <x:c r="U11" s="37" t="n">
        <x:v>25500</x:v>
      </x:c>
      <x:c r="V11" s="37" t="n">
        <x:f>MAX(0,U11-T11)</x:f>
        <x:v>3100</x:v>
      </x:c>
      <x:c r="W11" s="28" t="str">
        <x:v>لا</x:v>
      </x:c>
      <x:c r="X11" s="28" t="str">
        <x:v>لا</x:v>
      </x:c>
      <x:c r="Y11" s="28" t="str">
        <x:v>مراجعة المطالبة حتى أغسطس وتوثيق استمرار الحيازة أو تاريخ انتهائها.</x:v>
      </x:c>
      <x:c r="Z11" s="28" t="str">
        <x:v>قضية: CASE-26-0049</x:v>
      </x:c>
    </x:row>
    <x:row r="12" ht="38" customHeight="1">
      <x:c r="A12" s="28" t="str">
        <x:v>2780</x:v>
      </x:c>
      <x:c r="B12" s="28" t="str">
        <x:v>ياسين محمد سرحاني</x:v>
      </x:c>
      <x:c r="C12" s="85" t="n">
        <x:v>45289</x:v>
      </x:c>
      <x:c r="D12" s="28" t="str">
        <x:v>C-ALF-0025</x:v>
      </x:c>
      <x:c r="E12" s="28" t="str">
        <x:v>ياسين محمد سرحاني</x:v>
      </x:c>
      <x:c r="F12" s="28" t="str">
        <x:v>إجراء قانوني</x:v>
      </x:c>
      <x:c r="G12" s="28" t="str">
        <x:v>لا</x:v>
      </x:c>
      <x:c r="H12" s="28" t="str">
        <x:v>نعم</x:v>
      </x:c>
      <x:c r="I12" s="85" t="n">
        <x:v>45289</x:v>
      </x:c>
      <x:c r="J12" s="85" t="n">
        <x:v>46202</x:v>
      </x:c>
      <x:c r="K12" s="37" t="n">
        <x:v>2100</x:v>
      </x:c>
      <x:c r="L12" s="37" t="n">
        <x:v>2760</x:v>
      </x:c>
      <x:c r="M12" s="37" t="n">
        <x:v>9870</x:v>
      </x:c>
      <x:c r="N12" s="37" t="n">
        <x:v>0</x:v>
      </x:c>
      <x:c r="O12" s="37" t="n">
        <x:v>6300</x:v>
      </x:c>
      <x:c r="P12" s="37" t="n">
        <x:v>7100</x:v>
      </x:c>
      <x:c r="Q12" s="37" t="n">
        <x:v>0</x:v>
      </x:c>
      <x:c r="R12" s="37" t="n">
        <x:v>9870</x:v>
      </x:c>
      <x:c r="S12" s="37" t="n">
        <x:v>7100</x:v>
      </x:c>
      <x:c r="T12" s="37" t="n">
        <x:f>R12+S12</x:f>
        <x:v>16970</x:v>
      </x:c>
      <x:c r="U12" s="37" t="n">
        <x:v>26660</x:v>
      </x:c>
      <x:c r="V12" s="37" t="n">
        <x:f>MAX(0,U12-T12)</x:f>
        <x:v>9690</x:v>
      </x:c>
      <x:c r="W12" s="28" t="str">
        <x:v>لا</x:v>
      </x:c>
      <x:c r="X12" s="28" t="str">
        <x:v>لا</x:v>
      </x:c>
      <x:c r="Y12" s="28" t="str">
        <x:v>مراجعة المطالبة حتى أغسطس وتوثيق استمرار الحيازة أو تاريخ انتهائها.</x:v>
      </x:c>
      <x:c r="Z12" s="28" t="str">
        <x:v>قضية: CASE-26-0037</x:v>
      </x:c>
    </x:row>
    <x:row r="13" ht="38" customHeight="1">
      <x:c r="A13" s="28" t="str">
        <x:v>2782</x:v>
      </x:c>
      <x:c r="B13" s="28" t="str">
        <x:v>سعيد الهلالي</x:v>
      </x:c>
      <x:c r="C13" s="85"/>
      <x:c r="D13" s="28" t="str">
        <x:v>AGR-202504-399591</x:v>
      </x:c>
      <x:c r="E13" s="28" t="str">
        <x:v>شرفي عبد الله</x:v>
      </x:c>
      <x:c r="F13" s="28" t="str">
        <x:v>ساري</x:v>
      </x:c>
      <x:c r="G13" s="28" t="str">
        <x:v>لا</x:v>
      </x:c>
      <x:c r="H13" s="28" t="str">
        <x:v>لا</x:v>
      </x:c>
      <x:c r="I13" s="85" t="n">
        <x:v>45689</x:v>
      </x:c>
      <x:c r="J13" s="85" t="n">
        <x:v>46755</x:v>
      </x:c>
      <x:c r="K13" s="37" t="n">
        <x:v>1500</x:v>
      </x:c>
      <x:c r="L13" s="37" t="n">
        <x:v>40700</x:v>
      </x:c>
      <x:c r="M13" s="37" t="n">
        <x:v>28800</x:v>
      </x:c>
      <x:c r="N13" s="37" t="n">
        <x:v>0</x:v>
      </x:c>
      <x:c r="O13" s="37" t="n">
        <x:v>49500</x:v>
      </x:c>
      <x:c r="P13" s="37" t="n">
        <x:v>500</x:v>
      </x:c>
      <x:c r="Q13" s="37" t="n">
        <x:v>0</x:v>
      </x:c>
      <x:c r="R13" s="37" t="n">
        <x:v>28800</x:v>
      </x:c>
      <x:c r="S13" s="37" t="n">
        <x:v>500</x:v>
      </x:c>
      <x:c r="T13" s="37" t="n">
        <x:f>R13+S13</x:f>
        <x:v>29300</x:v>
      </x:c>
      <x:c r="U13" s="37" t="n">
        <x:v>0</x:v>
      </x:c>
      <x:c r="V13" s="37" t="n">
        <x:f>MAX(0,U13-T13)</x:f>
        <x:v>0</x:v>
      </x:c>
      <x:c r="W13" s="28" t="str">
        <x:v>لا</x:v>
      </x:c>
      <x:c r="X13" s="28" t="str">
        <x:v>لا</x:v>
      </x:c>
      <x:c r="Y13" s="28" t="str">
        <x:v>تحديد تاريخ انتقال المركبة قبل اعتماد مبلغ المطالبة.</x:v>
      </x:c>
      <x:c r="Z13" s="28" t="str"/>
    </x:row>
    <x:row r="14" ht="38" customHeight="1">
      <x:c r="A14" s="28" t="str">
        <x:v>5898</x:v>
      </x:c>
      <x:c r="B14" s="28" t="str">
        <x:v>محمد سرالختم</x:v>
      </x:c>
      <x:c r="C14" s="85" t="n">
        <x:v>45874</x:v>
      </x:c>
      <x:c r="D14" s="28" t="str">
        <x:v>C-ALF-0039</x:v>
      </x:c>
      <x:c r="E14" s="28" t="str">
        <x:v>محمد سرالختم</x:v>
      </x:c>
      <x:c r="F14" s="28" t="str">
        <x:v>إجراء قانوني</x:v>
      </x:c>
      <x:c r="G14" s="28" t="str">
        <x:v>لا</x:v>
      </x:c>
      <x:c r="H14" s="28" t="str">
        <x:v>نعم</x:v>
      </x:c>
      <x:c r="I14" s="85" t="n">
        <x:v>45874</x:v>
      </x:c>
      <x:c r="J14" s="85" t="n">
        <x:v>46788</x:v>
      </x:c>
      <x:c r="K14" s="37" t="n">
        <x:v>1500</x:v>
      </x:c>
      <x:c r="L14" s="37" t="n">
        <x:v>39500</x:v>
      </x:c>
      <x:c r="M14" s="37" t="n">
        <x:v>10832</x:v>
      </x:c>
      <x:c r="N14" s="37" t="n">
        <x:v>0</x:v>
      </x:c>
      <x:c r="O14" s="37" t="n">
        <x:v>27000</x:v>
      </x:c>
      <x:c r="P14" s="37" t="n">
        <x:v>27100</x:v>
      </x:c>
      <x:c r="Q14" s="37" t="n">
        <x:v>0</x:v>
      </x:c>
      <x:c r="R14" s="37" t="n">
        <x:v>10832</x:v>
      </x:c>
      <x:c r="S14" s="37" t="n">
        <x:v>27100</x:v>
      </x:c>
      <x:c r="T14" s="37" t="n">
        <x:f>R14+S14</x:f>
        <x:v>37932</x:v>
      </x:c>
      <x:c r="U14" s="37" t="n">
        <x:v>66700</x:v>
      </x:c>
      <x:c r="V14" s="37" t="n">
        <x:f>MAX(0,U14-T14)</x:f>
        <x:v>28768</x:v>
      </x:c>
      <x:c r="W14" s="28" t="str">
        <x:v>لا</x:v>
      </x:c>
      <x:c r="X14" s="28" t="str">
        <x:v>لا</x:v>
      </x:c>
      <x:c r="Y14" s="28" t="str">
        <x:v>مراجعة المطالبة حتى أغسطس وتوثيق استمرار الحيازة أو تاريخ انتهائها.</x:v>
      </x:c>
      <x:c r="Z14" s="28" t="str">
        <x:v>قضية: CASE-26-0009</x:v>
      </x:c>
    </x:row>
    <x:row r="15" ht="38" customHeight="1">
      <x:c r="A15" s="28" t="str">
        <x:v>5900</x:v>
      </x:c>
      <x:c r="B15" s="28" t="str">
        <x:v>محمد عزيز محسن جلالي</x:v>
      </x:c>
      <x:c r="C15" s="85" t="n">
        <x:v>46091</x:v>
      </x:c>
      <x:c r="D15" s="28" t="str">
        <x:v>C-ALF-0041</x:v>
      </x:c>
      <x:c r="E15" s="28" t="str">
        <x:v>فخري الدين عثمان</x:v>
      </x:c>
      <x:c r="F15" s="28" t="str">
        <x:v>إجراء قانوني</x:v>
      </x:c>
      <x:c r="G15" s="28" t="str">
        <x:v>لا</x:v>
      </x:c>
      <x:c r="H15" s="28" t="str">
        <x:v>لا</x:v>
      </x:c>
      <x:c r="I15" s="85" t="n">
        <x:v>45766</x:v>
      </x:c>
      <x:c r="J15" s="85" t="n">
        <x:v>46054</x:v>
      </x:c>
      <x:c r="K15" s="37" t="n">
        <x:v>1600</x:v>
      </x:c>
      <x:c r="L15" s="37" t="n">
        <x:v>14550</x:v>
      </x:c>
      <x:c r="M15" s="37" t="n">
        <x:v>11350</x:v>
      </x:c>
      <x:c r="N15" s="37" t="n">
        <x:v>11350</x:v>
      </x:c>
      <x:c r="O15" s="37" t="n">
        <x:v>4800</x:v>
      </x:c>
      <x:c r="P15" s="37" t="n">
        <x:v>500</x:v>
      </x:c>
      <x:c r="Q15" s="37" t="n">
        <x:v>500</x:v>
      </x:c>
      <x:c r="R15" s="37" t="n">
        <x:v>11350</x:v>
      </x:c>
      <x:c r="S15" s="37" t="n">
        <x:v>500</x:v>
      </x:c>
      <x:c r="T15" s="37" t="n">
        <x:f>R15+S15</x:f>
        <x:v>11850</x:v>
      </x:c>
      <x:c r="U15" s="37" t="n">
        <x:v>29150</x:v>
      </x:c>
      <x:c r="V15" s="37" t="n">
        <x:f>MAX(0,U15-T15)</x:f>
        <x:v>17300</x:v>
      </x:c>
      <x:c r="W15" s="28" t="str">
        <x:v>نعم</x:v>
      </x:c>
      <x:c r="X15" s="28" t="str">
        <x:v>لا</x:v>
      </x:c>
      <x:c r="Y15" s="28" t="str">
        <x:v>إلغاء/إنهاء عهدة القديم عند بداية الجديد، وإبقاء المطالبة حتى القطع فقط.</x:v>
      </x:c>
      <x:c r="Z15" s="28" t="str">
        <x:v>المبلغ المقترح يستبعد ما بعد بداية المستأجر الجديد.، قضية: CASE-26-0057</x:v>
      </x:c>
    </x:row>
    <x:row r="16" ht="38" customHeight="1">
      <x:c r="A16" s="28" t="str">
        <x:v>5900</x:v>
      </x:c>
      <x:c r="B16" s="28" t="str">
        <x:v>محمد عزيز محسن جلالي</x:v>
      </x:c>
      <x:c r="C16" s="85" t="n">
        <x:v>46091</x:v>
      </x:c>
      <x:c r="D16" s="28" t="str">
        <x:v>HIST-XLS-T77-5900</x:v>
      </x:c>
      <x:c r="E16" s="28" t="str">
        <x:v>محمد عزيز محسن جلالي</x:v>
      </x:c>
      <x:c r="F16" s="28" t="str">
        <x:v>إجراء قانوني</x:v>
      </x:c>
      <x:c r="G16" s="28" t="str">
        <x:v>لا</x:v>
      </x:c>
      <x:c r="H16" s="28" t="str">
        <x:v>نعم</x:v>
      </x:c>
      <x:c r="I16" s="85" t="n">
        <x:v>46054</x:v>
      </x:c>
      <x:c r="J16" s="85" t="n">
        <x:v>46722</x:v>
      </x:c>
      <x:c r="K16" s="37" t="n">
        <x:v>1500</x:v>
      </x:c>
      <x:c r="L16" s="37" t="n">
        <x:v>24800</x:v>
      </x:c>
      <x:c r="M16" s="37" t="n">
        <x:v>800</x:v>
      </x:c>
      <x:c r="N16" s="37" t="n">
        <x:v>0</x:v>
      </x:c>
      <x:c r="O16" s="37" t="n">
        <x:v>24000</x:v>
      </x:c>
      <x:c r="P16" s="37" t="n">
        <x:v>1900</x:v>
      </x:c>
      <x:c r="Q16" s="37" t="n">
        <x:v>800</x:v>
      </x:c>
      <x:c r="R16" s="37" t="n">
        <x:v>800</x:v>
      </x:c>
      <x:c r="S16" s="37" t="n">
        <x:v>1900</x:v>
      </x:c>
      <x:c r="T16" s="37" t="n">
        <x:f>R16+S16</x:f>
        <x:v>2700</x:v>
      </x:c>
      <x:c r="U16" s="37" t="n">
        <x:v>3800</x:v>
      </x:c>
      <x:c r="V16" s="37" t="n">
        <x:f>MAX(0,U16-T16)</x:f>
        <x:v>1100</x:v>
      </x:c>
      <x:c r="W16" s="28" t="str">
        <x:v>لا</x:v>
      </x:c>
      <x:c r="X16" s="28" t="str">
        <x:v>لا</x:v>
      </x:c>
      <x:c r="Y16" s="28" t="str">
        <x:v>مراجعة المطالبة حتى أغسطس وتوثيق استمرار الحيازة أو تاريخ انتهائها.</x:v>
      </x:c>
      <x:c r="Z16" s="28" t="str">
        <x:v>قضية: CASE-26-0038</x:v>
      </x:c>
    </x:row>
    <x:row r="17" ht="38" customHeight="1">
      <x:c r="A17" s="28" t="str">
        <x:v>7038</x:v>
      </x:c>
      <x:c r="B17" s="28" t="str">
        <x:v>مهدي محمد القاطري</x:v>
      </x:c>
      <x:c r="C17" s="85" t="n">
        <x:v>46023</x:v>
      </x:c>
      <x:c r="D17" s="28" t="str">
        <x:v>C-ALF-0048</x:v>
      </x:c>
      <x:c r="E17" s="28" t="str">
        <x:v>ثامر محمد السيد</x:v>
      </x:c>
      <x:c r="F17" s="28" t="str">
        <x:v>إجراء قانوني</x:v>
      </x:c>
      <x:c r="G17" s="28" t="str">
        <x:v>نعم</x:v>
      </x:c>
      <x:c r="H17" s="28" t="str">
        <x:v>لا</x:v>
      </x:c>
      <x:c r="I17" s="85" t="n">
        <x:v>45325</x:v>
      </x:c>
      <x:c r="J17" s="85" t="n">
        <x:v>46022</x:v>
      </x:c>
      <x:c r="K17" s="37" t="n">
        <x:v>2100</x:v>
      </x:c>
      <x:c r="L17" s="37" t="n">
        <x:v>13240</x:v>
      </x:c>
      <x:c r="M17" s="37" t="n">
        <x:v>9760</x:v>
      </x:c>
      <x:c r="N17" s="37" t="n">
        <x:v>9760</x:v>
      </x:c>
      <x:c r="O17" s="37" t="n">
        <x:v>0</x:v>
      </x:c>
      <x:c r="P17" s="37" t="n">
        <x:v>4000</x:v>
      </x:c>
      <x:c r="Q17" s="37" t="n">
        <x:v>4000</x:v>
      </x:c>
      <x:c r="R17" s="37" t="n">
        <x:v>9760</x:v>
      </x:c>
      <x:c r="S17" s="37" t="n">
        <x:v>4000</x:v>
      </x:c>
      <x:c r="T17" s="37" t="n">
        <x:f>R17+S17</x:f>
        <x:v>13760</x:v>
      </x:c>
      <x:c r="U17" s="37" t="n">
        <x:v>17240</x:v>
      </x:c>
      <x:c r="V17" s="37" t="n">
        <x:f>MAX(0,U17-T17)</x:f>
        <x:v>3480</x:v>
      </x:c>
      <x:c r="W17" s="28" t="str">
        <x:v>لا</x:v>
      </x:c>
      <x:c r="X17" s="28" t="str">
        <x:v>لا</x:v>
      </x:c>
      <x:c r="Y17" s="28" t="str">
        <x:v>إلغاء/إنهاء عهدة القديم عند بداية الجديد، وإبقاء المطالبة حتى القطع فقط.</x:v>
      </x:c>
      <x:c r="Z17" s="28" t="str">
        <x:v>المبلغ المقترح يستبعد ما بعد بداية المستأجر الجديد.، قضية: LC-1770667392007</x:v>
      </x:c>
    </x:row>
    <x:row r="18" ht="38" customHeight="1">
      <x:c r="A18" s="28" t="str">
        <x:v>7038</x:v>
      </x:c>
      <x:c r="B18" s="28" t="str">
        <x:v>مهدي محمد القاطري</x:v>
      </x:c>
      <x:c r="C18" s="85" t="n">
        <x:v>46023</x:v>
      </x:c>
      <x:c r="D18" s="28" t="str">
        <x:v>CNT-26-7038</x:v>
      </x:c>
      <x:c r="E18" s="28" t="str">
        <x:v>مهدي محمد القاطري</x:v>
      </x:c>
      <x:c r="F18" s="28" t="str">
        <x:v>ساري</x:v>
      </x:c>
      <x:c r="G18" s="28" t="str">
        <x:v>لا</x:v>
      </x:c>
      <x:c r="H18" s="28" t="str">
        <x:v>نعم</x:v>
      </x:c>
      <x:c r="I18" s="85" t="n">
        <x:v>46023</x:v>
      </x:c>
      <x:c r="J18" s="85" t="n">
        <x:v>46905</x:v>
      </x:c>
      <x:c r="K18" s="37" t="n">
        <x:v>1600</x:v>
      </x:c>
      <x:c r="L18" s="37" t="n">
        <x:v>40100</x:v>
      </x:c>
      <x:c r="M18" s="37" t="n">
        <x:v>4900</x:v>
      </x:c>
      <x:c r="N18" s="37" t="n">
        <x:v>0</x:v>
      </x:c>
      <x:c r="O18" s="37" t="n">
        <x:v>35200</x:v>
      </x:c>
      <x:c r="P18" s="37" t="n">
        <x:v>0</x:v>
      </x:c>
      <x:c r="Q18" s="37" t="n">
        <x:v>0</x:v>
      </x:c>
      <x:c r="R18" s="37" t="n">
        <x:v>0</x:v>
      </x:c>
      <x:c r="S18" s="37" t="n">
        <x:v>0</x:v>
      </x:c>
      <x:c r="T18" s="37" t="n">
        <x:f>R18+S18</x:f>
        <x:v>0</x:v>
      </x:c>
      <x:c r="U18" s="37" t="n">
        <x:v>0</x:v>
      </x:c>
      <x:c r="V18" s="37" t="n">
        <x:f>MAX(0,U18-T18)</x:f>
        <x:v>0</x:v>
      </x:c>
      <x:c r="W18" s="28" t="str">
        <x:v>لا</x:v>
      </x:c>
      <x:c r="X18" s="28" t="str">
        <x:v>لا</x:v>
      </x:c>
      <x:c r="Y18" s="28" t="str">
        <x:v>العقد الحالي الصحيح؛ لا مطالبة قانونية عليه من هذه التسوية.</x:v>
      </x:c>
      <x:c r="Z18" s="28" t="str"/>
    </x:row>
    <x:row r="19" ht="38" customHeight="1">
      <x:c r="A19" s="28" t="str">
        <x:v>7041</x:v>
      </x:c>
      <x:c r="B19" s="28" t="str">
        <x:v>رمزي الهاشمي بعزاوي</x:v>
      </x:c>
      <x:c r="C19" s="85" t="n">
        <x:v>45940</x:v>
      </x:c>
      <x:c r="D19" s="28" t="str">
        <x:v>LTO2024136</x:v>
      </x:c>
      <x:c r="E19" s="28" t="str">
        <x:v>علاء الدين علي دباش</x:v>
      </x:c>
      <x:c r="F19" s="28" t="str">
        <x:v>إجراء قانوني</x:v>
      </x:c>
      <x:c r="G19" s="28" t="str">
        <x:v>لا</x:v>
      </x:c>
      <x:c r="H19" s="28" t="str">
        <x:v>لا</x:v>
      </x:c>
      <x:c r="I19" s="85" t="n">
        <x:v>45409</x:v>
      </x:c>
      <x:c r="J19" s="85" t="n">
        <x:v>45546</x:v>
      </x:c>
      <x:c r="K19" s="37" t="n">
        <x:v>0</x:v>
      </x:c>
      <x:c r="L19" s="37" t="n">
        <x:v>0</x:v>
      </x:c>
      <x:c r="M19" s="37" t="n">
        <x:v>0</x:v>
      </x:c>
      <x:c r="N19" s="37" t="n">
        <x:v>0</x:v>
      </x:c>
      <x:c r="O19" s="37" t="n">
        <x:v>0</x:v>
      </x:c>
      <x:c r="P19" s="37" t="n">
        <x:v>1700</x:v>
      </x:c>
      <x:c r="Q19" s="37" t="n">
        <x:v>1700</x:v>
      </x:c>
      <x:c r="R19" s="37" t="n">
        <x:v>0</x:v>
      </x:c>
      <x:c r="S19" s="37" t="n">
        <x:v>1700</x:v>
      </x:c>
      <x:c r="T19" s="37" t="n">
        <x:f>R19+S19</x:f>
        <x:v>1700</x:v>
      </x:c>
      <x:c r="U19" s="37" t="n">
        <x:v>320</x:v>
      </x:c>
      <x:c r="V19" s="37" t="n">
        <x:f>MAX(0,U19-T19)</x:f>
        <x:v>0</x:v>
      </x:c>
      <x:c r="W19" s="28" t="str">
        <x:v>نعم</x:v>
      </x:c>
      <x:c r="X19" s="28" t="str">
        <x:v>لا</x:v>
      </x:c>
      <x:c r="Y19" s="28" t="str">
        <x:v>إلغاء/إنهاء عهدة القديم عند بداية الجديد، وإبقاء المطالبة حتى القطع فقط.</x:v>
      </x:c>
      <x:c r="Z19" s="28" t="str">
        <x:v>المبلغ المقترح يستبعد ما بعد بداية المستأجر الجديد.، قضية: CASE-26-0056</x:v>
      </x:c>
    </x:row>
    <x:row r="20" ht="38" customHeight="1">
      <x:c r="A20" s="28" t="str">
        <x:v>7041</x:v>
      </x:c>
      <x:c r="B20" s="28" t="str">
        <x:v>رمزي الهاشمي بعزاوي</x:v>
      </x:c>
      <x:c r="C20" s="85" t="n">
        <x:v>45940</x:v>
      </x:c>
      <x:c r="D20" s="28" t="str">
        <x:v>C-ALF-0050</x:v>
      </x:c>
      <x:c r="E20" s="28" t="str">
        <x:v>رمزي الهاشمي بعزاوي</x:v>
      </x:c>
      <x:c r="F20" s="28" t="str">
        <x:v>ساري</x:v>
      </x:c>
      <x:c r="G20" s="28" t="str">
        <x:v>لا</x:v>
      </x:c>
      <x:c r="H20" s="28" t="str">
        <x:v>نعم</x:v>
      </x:c>
      <x:c r="I20" s="85" t="n">
        <x:v>45940</x:v>
      </x:c>
      <x:c r="J20" s="85" t="n">
        <x:v>46387</x:v>
      </x:c>
      <x:c r="K20" s="37" t="n">
        <x:v>1600</x:v>
      </x:c>
      <x:c r="L20" s="37" t="n">
        <x:v>14200</x:v>
      </x:c>
      <x:c r="M20" s="37" t="n">
        <x:v>7800</x:v>
      </x:c>
      <x:c r="N20" s="37" t="n">
        <x:v>0</x:v>
      </x:c>
      <x:c r="O20" s="37" t="n">
        <x:v>6400</x:v>
      </x:c>
      <x:c r="P20" s="37" t="n">
        <x:v>2000</x:v>
      </x:c>
      <x:c r="Q20" s="37" t="n">
        <x:v>0</x:v>
      </x:c>
      <x:c r="R20" s="37" t="n">
        <x:v>0</x:v>
      </x:c>
      <x:c r="S20" s="37" t="n">
        <x:v>0</x:v>
      </x:c>
      <x:c r="T20" s="37" t="n">
        <x:f>R20+S20</x:f>
        <x:v>0</x:v>
      </x:c>
      <x:c r="U20" s="37" t="n">
        <x:v>0</x:v>
      </x:c>
      <x:c r="V20" s="37" t="n">
        <x:f>MAX(0,U20-T20)</x:f>
        <x:v>0</x:v>
      </x:c>
      <x:c r="W20" s="28" t="str">
        <x:v>نعم</x:v>
      </x:c>
      <x:c r="X20" s="28" t="str">
        <x:v>لا</x:v>
      </x:c>
      <x:c r="Y20" s="28" t="str">
        <x:v>العقد الحالي الصحيح؛ لا مطالبة قانونية عليه من هذه التسوية.</x:v>
      </x:c>
      <x:c r="Z20" s="28" t="str"/>
    </x:row>
    <x:row r="21" ht="38" customHeight="1">
      <x:c r="A21" s="28" t="str">
        <x:v>7053</x:v>
      </x:c>
      <x:c r="B21" s="28" t="str">
        <x:v>مهدي أسامة المهدي حامد</x:v>
      </x:c>
      <x:c r="C21" s="85" t="n">
        <x:v>45503</x:v>
      </x:c>
      <x:c r="D21" s="28" t="str">
        <x:v>LTO2024263</x:v>
      </x:c>
      <x:c r="E21" s="28" t="str">
        <x:v>مهدي أسامة المهدي حامد</x:v>
      </x:c>
      <x:c r="F21" s="28" t="str">
        <x:v>إجراء قانوني</x:v>
      </x:c>
      <x:c r="G21" s="28" t="str">
        <x:v>لا</x:v>
      </x:c>
      <x:c r="H21" s="28" t="str">
        <x:v>نعم</x:v>
      </x:c>
      <x:c r="I21" s="85" t="n">
        <x:v>45503</x:v>
      </x:c>
      <x:c r="J21" s="85" t="n">
        <x:v>46569</x:v>
      </x:c>
      <x:c r="K21" s="37" t="n">
        <x:v>1800</x:v>
      </x:c>
      <x:c r="L21" s="37" t="n">
        <x:v>26200</x:v>
      </x:c>
      <x:c r="M21" s="37" t="n">
        <x:v>10400</x:v>
      </x:c>
      <x:c r="N21" s="37" t="n">
        <x:v>0</x:v>
      </x:c>
      <x:c r="O21" s="37" t="n">
        <x:v>19800</x:v>
      </x:c>
      <x:c r="P21" s="37" t="n">
        <x:v>0</x:v>
      </x:c>
      <x:c r="Q21" s="37" t="n">
        <x:v>0</x:v>
      </x:c>
      <x:c r="R21" s="37" t="n">
        <x:v>10400</x:v>
      </x:c>
      <x:c r="S21" s="37" t="n">
        <x:v>0</x:v>
      </x:c>
      <x:c r="T21" s="37" t="n">
        <x:f>R21+S21</x:f>
        <x:v>10400</x:v>
      </x:c>
      <x:c r="U21" s="37" t="n">
        <x:v>10400</x:v>
      </x:c>
      <x:c r="V21" s="37" t="n">
        <x:f>MAX(0,U21-T21)</x:f>
        <x:v>0</x:v>
      </x:c>
      <x:c r="W21" s="28" t="str">
        <x:v>نعم</x:v>
      </x:c>
      <x:c r="X21" s="28" t="str">
        <x:v>لا</x:v>
      </x:c>
      <x:c r="Y21" s="28" t="str">
        <x:v>مراجعة المطالبة حتى أغسطس وتوثيق استمرار الحيازة أو تاريخ انتهائها.</x:v>
      </x:c>
      <x:c r="Z21" s="28" t="str">
        <x:v>قضية: CASE-26-0054</x:v>
      </x:c>
    </x:row>
    <x:row r="22" ht="38" customHeight="1">
      <x:c r="A22" s="28" t="str">
        <x:v>7054</x:v>
      </x:c>
      <x:c r="B22" s="28" t="str">
        <x:v>عمر عبد المولى مبروكي</x:v>
      </x:c>
      <x:c r="C22" s="85" t="n">
        <x:v>46179</x:v>
      </x:c>
      <x:c r="D22" s="28" t="str">
        <x:v>C-ALF-0053</x:v>
      </x:c>
      <x:c r="E22" s="28" t="str">
        <x:v>محمد جاسم الصالح</x:v>
      </x:c>
      <x:c r="F22" s="28" t="str">
        <x:v>إجراء قانوني</x:v>
      </x:c>
      <x:c r="G22" s="28" t="str">
        <x:v>لا</x:v>
      </x:c>
      <x:c r="H22" s="28" t="str">
        <x:v>لا</x:v>
      </x:c>
      <x:c r="I22" s="85" t="n">
        <x:v>45673</x:v>
      </x:c>
      <x:c r="J22" s="85" t="n">
        <x:v>46387</x:v>
      </x:c>
      <x:c r="K22" s="37" t="n">
        <x:v>1650</x:v>
      </x:c>
      <x:c r="L22" s="37" t="n">
        <x:v>29290</x:v>
      </x:c>
      <x:c r="M22" s="37" t="n">
        <x:v>21450</x:v>
      </x:c>
      <x:c r="N22" s="37" t="n">
        <x:v>16500</x:v>
      </x:c>
      <x:c r="O22" s="37" t="n">
        <x:v>6600</x:v>
      </x:c>
      <x:c r="P22" s="37" t="n">
        <x:v>8200</x:v>
      </x:c>
      <x:c r="Q22" s="37" t="n">
        <x:v>6400</x:v>
      </x:c>
      <x:c r="R22" s="37" t="n">
        <x:v>16500</x:v>
      </x:c>
      <x:c r="S22" s="37" t="n">
        <x:v>6400</x:v>
      </x:c>
      <x:c r="T22" s="37" t="n">
        <x:f>R22+S22</x:f>
        <x:v>22900</x:v>
      </x:c>
      <x:c r="U22" s="37" t="n">
        <x:v>35700</x:v>
      </x:c>
      <x:c r="V22" s="37" t="n">
        <x:f>MAX(0,U22-T22)</x:f>
        <x:v>12800</x:v>
      </x:c>
      <x:c r="W22" s="28" t="str">
        <x:v>نعم</x:v>
      </x:c>
      <x:c r="X22" s="28" t="str">
        <x:v>لا</x:v>
      </x:c>
      <x:c r="Y22" s="28" t="str">
        <x:v>إلغاء/إنهاء عهدة القديم عند بداية الجديد، وإبقاء المطالبة حتى القطع فقط.</x:v>
      </x:c>
      <x:c r="Z22" s="28" t="str">
        <x:v>المبلغ المقترح يستبعد ما بعد بداية المستأجر الجديد.، قضية: CASE-26-0032</x:v>
      </x:c>
    </x:row>
    <x:row r="23" ht="38" customHeight="1">
      <x:c r="A23" s="28" t="str">
        <x:v>7060</x:v>
      </x:c>
      <x:c r="B23" s="28" t="str">
        <x:v>بنور رقية</x:v>
      </x:c>
      <x:c r="C23" s="85" t="n">
        <x:v>45327</x:v>
      </x:c>
      <x:c r="D23" s="28" t="str">
        <x:v>LTO2024141</x:v>
      </x:c>
      <x:c r="E23" s="28" t="str">
        <x:v>بنور رقية</x:v>
      </x:c>
      <x:c r="F23" s="28" t="str">
        <x:v>إجراء قانوني</x:v>
      </x:c>
      <x:c r="G23" s="28" t="str">
        <x:v>لا</x:v>
      </x:c>
      <x:c r="H23" s="28" t="str">
        <x:v>نعم</x:v>
      </x:c>
      <x:c r="I23" s="85" t="n">
        <x:v>45414</x:v>
      </x:c>
      <x:c r="J23" s="85" t="n">
        <x:v>46876</x:v>
      </x:c>
      <x:c r="K23" s="37" t="n">
        <x:v>1600</x:v>
      </x:c>
      <x:c r="L23" s="37" t="n">
        <x:v>75500</x:v>
      </x:c>
      <x:c r="M23" s="37" t="n">
        <x:v>38700</x:v>
      </x:c>
      <x:c r="N23" s="37" t="n">
        <x:v>0</x:v>
      </x:c>
      <x:c r="O23" s="37" t="n">
        <x:v>32000</x:v>
      </x:c>
      <x:c r="P23" s="37" t="n">
        <x:v>9900</x:v>
      </x:c>
      <x:c r="Q23" s="37" t="n">
        <x:v>0</x:v>
      </x:c>
      <x:c r="R23" s="37" t="n">
        <x:v>38700</x:v>
      </x:c>
      <x:c r="S23" s="37" t="n">
        <x:v>9900</x:v>
      </x:c>
      <x:c r="T23" s="37" t="n">
        <x:f>R23+S23</x:f>
        <x:v>48600</x:v>
      </x:c>
      <x:c r="U23" s="37" t="n">
        <x:v>61700</x:v>
      </x:c>
      <x:c r="V23" s="37" t="n">
        <x:f>MAX(0,U23-T23)</x:f>
        <x:v>13100</x:v>
      </x:c>
      <x:c r="W23" s="28" t="str">
        <x:v>لا</x:v>
      </x:c>
      <x:c r="X23" s="28" t="str">
        <x:v>لا</x:v>
      </x:c>
      <x:c r="Y23" s="28" t="str">
        <x:v>مراجعة المطالبة حتى أغسطس وتوثيق استمرار الحيازة أو تاريخ انتهائها.</x:v>
      </x:c>
      <x:c r="Z23" s="28" t="str">
        <x:v>قضية: CASE-26-0006</x:v>
      </x:c>
    </x:row>
    <x:row r="24" ht="38" customHeight="1">
      <x:c r="A24" s="28" t="str">
        <x:v>7066</x:v>
      </x:c>
      <x:c r="B24" s="28" t="str">
        <x:v>ايهاب ميرغني عوض الكريم عبد الله</x:v>
      </x:c>
      <x:c r="C24" s="85" t="n">
        <x:v>45320</x:v>
      </x:c>
      <x:c r="D24" s="28" t="str">
        <x:v>C-ALF-0061</x:v>
      </x:c>
      <x:c r="E24" s="28" t="str">
        <x:v>عوض الكريم عبد المنعم علي سعيد احمد</x:v>
      </x:c>
      <x:c r="F24" s="28" t="str">
        <x:v>إجراء قانوني</x:v>
      </x:c>
      <x:c r="G24" s="28" t="str">
        <x:v>لا</x:v>
      </x:c>
      <x:c r="H24" s="28" t="str">
        <x:v>لا</x:v>
      </x:c>
      <x:c r="I24" s="85" t="n">
        <x:v>45320</x:v>
      </x:c>
      <x:c r="J24" s="85" t="n">
        <x:v>46051</x:v>
      </x:c>
      <x:c r="K24" s="37" t="n">
        <x:v>2550</x:v>
      </x:c>
      <x:c r="L24" s="37" t="n">
        <x:v>6175</x:v>
      </x:c>
      <x:c r="M24" s="37" t="n">
        <x:v>35975</x:v>
      </x:c>
      <x:c r="N24" s="37" t="n">
        <x:v>0</x:v>
      </x:c>
      <x:c r="O24" s="37" t="n">
        <x:v>10200</x:v>
      </x:c>
      <x:c r="P24" s="37" t="n">
        <x:v>24700</x:v>
      </x:c>
      <x:c r="Q24" s="37" t="n">
        <x:v>0</x:v>
      </x:c>
      <x:c r="R24" s="37" t="n">
        <x:v>0</x:v>
      </x:c>
      <x:c r="S24" s="37" t="n">
        <x:v>0</x:v>
      </x:c>
      <x:c r="T24" s="37" t="n">
        <x:f>R24+S24</x:f>
        <x:v>0</x:v>
      </x:c>
      <x:c r="U24" s="37" t="n">
        <x:v>31186.5</x:v>
      </x:c>
      <x:c r="V24" s="37" t="n">
        <x:f>MAX(0,U24-T24)</x:f>
        <x:v>31186.5</x:v>
      </x:c>
      <x:c r="W24" s="28" t="str">
        <x:v>لا</x:v>
      </x:c>
      <x:c r="X24" s="28" t="str">
        <x:v>لا</x:v>
      </x:c>
      <x:c r="Y24" s="28" t="str">
        <x:v>إلغاء/إنهاء عهدة القديم عند بداية الجديد، وإبقاء المطالبة حتى القطع فقط.</x:v>
      </x:c>
      <x:c r="Z24" s="28" t="str">
        <x:v>المبلغ المقترح يستبعد ما بعد بداية المستأجر الجديد.، قضية: CASE-26-0015</x:v>
      </x:c>
    </x:row>
    <x:row r="25" ht="38" customHeight="1">
      <x:c r="A25" s="28" t="str">
        <x:v>7069</x:v>
      </x:c>
      <x:c r="B25" s="28" t="str">
        <x:v>عصام المزوغي</x:v>
      </x:c>
      <x:c r="C25" s="85" t="n">
        <x:v>45530</x:v>
      </x:c>
      <x:c r="D25" s="28" t="str">
        <x:v>LTO2024284</x:v>
      </x:c>
      <x:c r="E25" s="28" t="str">
        <x:v>عصام المزوغي</x:v>
      </x:c>
      <x:c r="F25" s="28" t="str">
        <x:v>إجراء قانوني</x:v>
      </x:c>
      <x:c r="G25" s="28" t="str">
        <x:v>لا</x:v>
      </x:c>
      <x:c r="H25" s="28" t="str">
        <x:v>نعم</x:v>
      </x:c>
      <x:c r="I25" s="85" t="n">
        <x:v>45530</x:v>
      </x:c>
      <x:c r="J25" s="85" t="n">
        <x:v>46625</x:v>
      </x:c>
      <x:c r="K25" s="37" t="n">
        <x:v>1800</x:v>
      </x:c>
      <x:c r="L25" s="37" t="n">
        <x:v>25400</x:v>
      </x:c>
      <x:c r="M25" s="37" t="n">
        <x:v>11200</x:v>
      </x:c>
      <x:c r="N25" s="37" t="n">
        <x:v>0</x:v>
      </x:c>
      <x:c r="O25" s="37" t="n">
        <x:v>39600</x:v>
      </x:c>
      <x:c r="P25" s="37" t="n">
        <x:v>1000</x:v>
      </x:c>
      <x:c r="Q25" s="37" t="n">
        <x:v>0</x:v>
      </x:c>
      <x:c r="R25" s="37" t="n">
        <x:v>11200</x:v>
      </x:c>
      <x:c r="S25" s="37" t="n">
        <x:v>1000</x:v>
      </x:c>
      <x:c r="T25" s="37" t="n">
        <x:f>R25+S25</x:f>
        <x:v>12200</x:v>
      </x:c>
      <x:c r="U25" s="37" t="n">
        <x:v>6600</x:v>
      </x:c>
      <x:c r="V25" s="37" t="n">
        <x:f>MAX(0,U25-T25)</x:f>
        <x:v>0</x:v>
      </x:c>
      <x:c r="W25" s="28" t="str">
        <x:v>نعم</x:v>
      </x:c>
      <x:c r="X25" s="28" t="str">
        <x:v>لا</x:v>
      </x:c>
      <x:c r="Y25" s="28" t="str">
        <x:v>مراجعة المطالبة حتى أغسطس وتوثيق استمرار الحيازة أو تاريخ انتهائها.</x:v>
      </x:c>
      <x:c r="Z25" s="28" t="str">
        <x:v>قضية: CASE-26-0034</x:v>
      </x:c>
    </x:row>
    <x:row r="26" ht="38" customHeight="1">
      <x:c r="A26" s="28" t="str">
        <x:v>7075</x:v>
      </x:c>
      <x:c r="B26" s="28" t="str">
        <x:v>مطلوبالهيثم</x:v>
      </x:c>
      <x:c r="C26" s="85" t="n">
        <x:v>45327</x:v>
      </x:c>
      <x:c r="D26" s="28" t="str">
        <x:v>LTO202418</x:v>
      </x:c>
      <x:c r="E26" s="28" t="str">
        <x:v>محمد الهيثم الطاهر الهادي محمد</x:v>
      </x:c>
      <x:c r="F26" s="28" t="str">
        <x:v>إجراء قانوني</x:v>
      </x:c>
      <x:c r="G26" s="28" t="str">
        <x:v>لا</x:v>
      </x:c>
      <x:c r="H26" s="28" t="str">
        <x:v>نعم</x:v>
      </x:c>
      <x:c r="I26" s="85" t="n">
        <x:v>45327</x:v>
      </x:c>
      <x:c r="J26" s="85" t="n">
        <x:v>46423</x:v>
      </x:c>
      <x:c r="K26" s="37" t="n">
        <x:v>2100</x:v>
      </x:c>
      <x:c r="L26" s="37" t="n">
        <x:v>61500</x:v>
      </x:c>
      <x:c r="M26" s="37" t="n">
        <x:v>33900</x:v>
      </x:c>
      <x:c r="N26" s="37" t="n">
        <x:v>0</x:v>
      </x:c>
      <x:c r="O26" s="37" t="n">
        <x:v>10500</x:v>
      </x:c>
      <x:c r="P26" s="37" t="n">
        <x:v>6100</x:v>
      </x:c>
      <x:c r="Q26" s="37" t="n">
        <x:v>0</x:v>
      </x:c>
      <x:c r="R26" s="37" t="n">
        <x:v>33900</x:v>
      </x:c>
      <x:c r="S26" s="37" t="n">
        <x:v>6100</x:v>
      </x:c>
      <x:c r="T26" s="37" t="n">
        <x:f>R26+S26</x:f>
        <x:v>40000</x:v>
      </x:c>
      <x:c r="U26" s="37" t="n">
        <x:v>125200</x:v>
      </x:c>
      <x:c r="V26" s="37" t="n">
        <x:f>MAX(0,U26-T26)</x:f>
        <x:v>85200</x:v>
      </x:c>
      <x:c r="W26" s="28" t="str">
        <x:v>لا</x:v>
      </x:c>
      <x:c r="X26" s="28" t="str">
        <x:v>لا</x:v>
      </x:c>
      <x:c r="Y26" s="28" t="str">
        <x:v>مراجعة المطالبة حتى أغسطس وتوثيق استمرار الحيازة أو تاريخ انتهائها.</x:v>
      </x:c>
      <x:c r="Z26" s="28" t="str">
        <x:v>قضية: CASE-26-0007</x:v>
      </x:c>
    </x:row>
    <x:row r="27" ht="38" customHeight="1">
      <x:c r="A27" s="28" t="str">
        <x:v>7078</x:v>
      </x:c>
      <x:c r="B27" s="28" t="str">
        <x:v>محمد شريف عمرو عياش</x:v>
      </x:c>
      <x:c r="C27" s="85" t="n">
        <x:v>45870</x:v>
      </x:c>
      <x:c r="D27" s="28" t="str">
        <x:v>C-ALF-0067</x:v>
      </x:c>
      <x:c r="E27" s="28" t="str">
        <x:v>محمد شريف عمرو عياش</x:v>
      </x:c>
      <x:c r="F27" s="28" t="str">
        <x:v>إجراء قانوني</x:v>
      </x:c>
      <x:c r="G27" s="28" t="str">
        <x:v>لا</x:v>
      </x:c>
      <x:c r="H27" s="28" t="str">
        <x:v>نعم</x:v>
      </x:c>
      <x:c r="I27" s="85" t="n">
        <x:v>45870</x:v>
      </x:c>
      <x:c r="J27" s="85" t="n">
        <x:v>46387</x:v>
      </x:c>
      <x:c r="K27" s="37" t="n">
        <x:v>1600</x:v>
      </x:c>
      <x:c r="L27" s="37" t="n">
        <x:v>22400</x:v>
      </x:c>
      <x:c r="M27" s="37" t="n">
        <x:v>12800</x:v>
      </x:c>
      <x:c r="N27" s="37" t="n">
        <x:v>0</x:v>
      </x:c>
      <x:c r="O27" s="37" t="n">
        <x:v>6400</x:v>
      </x:c>
      <x:c r="P27" s="37" t="n">
        <x:v>4300</x:v>
      </x:c>
      <x:c r="Q27" s="37" t="n">
        <x:v>0</x:v>
      </x:c>
      <x:c r="R27" s="37" t="n">
        <x:v>12800</x:v>
      </x:c>
      <x:c r="S27" s="37" t="n">
        <x:v>4300</x:v>
      </x:c>
      <x:c r="T27" s="37" t="n">
        <x:f>R27+S27</x:f>
        <x:v>17100</x:v>
      </x:c>
      <x:c r="U27" s="37" t="n">
        <x:v>25200</x:v>
      </x:c>
      <x:c r="V27" s="37" t="n">
        <x:f>MAX(0,U27-T27)</x:f>
        <x:v>8100</x:v>
      </x:c>
      <x:c r="W27" s="28" t="str">
        <x:v>نعم</x:v>
      </x:c>
      <x:c r="X27" s="28" t="str">
        <x:v>لا</x:v>
      </x:c>
      <x:c r="Y27" s="28" t="str">
        <x:v>مراجعة المطالبة حتى أغسطس وتوثيق استمرار الحيازة أو تاريخ انتهائها.</x:v>
      </x:c>
      <x:c r="Z27" s="28" t="str">
        <x:v>قضية: CASE-26-0029</x:v>
      </x:c>
    </x:row>
    <x:row r="28" ht="38" customHeight="1">
      <x:c r="A28" s="28" t="str">
        <x:v>185573</x:v>
      </x:c>
      <x:c r="B28" s="28" t="str">
        <x:v>ايهاب ميرغني عوض الكريم عبد الله</x:v>
      </x:c>
      <x:c r="C28" s="85" t="n">
        <x:v>45748</x:v>
      </x:c>
      <x:c r="D28" s="28" t="str">
        <x:v>C-ALF-0008</x:v>
      </x:c>
      <x:c r="E28" s="28" t="str">
        <x:v>ايهاب ميرغني عوض الكريم عبد الله</x:v>
      </x:c>
      <x:c r="F28" s="28" t="str">
        <x:v>إجراء قانوني</x:v>
      </x:c>
      <x:c r="G28" s="28" t="str">
        <x:v>لا</x:v>
      </x:c>
      <x:c r="H28" s="28" t="str">
        <x:v>نعم</x:v>
      </x:c>
      <x:c r="I28" s="85" t="n">
        <x:v>45748</x:v>
      </x:c>
      <x:c r="J28" s="85" t="n">
        <x:v>46387</x:v>
      </x:c>
      <x:c r="K28" s="37" t="n">
        <x:v>1500</x:v>
      </x:c>
      <x:c r="L28" s="37" t="n">
        <x:v>15900</x:v>
      </x:c>
      <x:c r="M28" s="37" t="n">
        <x:v>9900</x:v>
      </x:c>
      <x:c r="N28" s="37" t="n">
        <x:v>0</x:v>
      </x:c>
      <x:c r="O28" s="37" t="n">
        <x:v>4500</x:v>
      </x:c>
      <x:c r="P28" s="37" t="n">
        <x:v>0</x:v>
      </x:c>
      <x:c r="Q28" s="37" t="n">
        <x:v>0</x:v>
      </x:c>
      <x:c r="R28" s="37" t="n">
        <x:v>9900</x:v>
      </x:c>
      <x:c r="S28" s="37" t="n">
        <x:v>0</x:v>
      </x:c>
      <x:c r="T28" s="37" t="n">
        <x:f>R28+S28</x:f>
        <x:v>9900</x:v>
      </x:c>
      <x:c r="U28" s="37" t="n">
        <x:v>9900</x:v>
      </x:c>
      <x:c r="V28" s="37" t="n">
        <x:f>MAX(0,U28-T28)</x:f>
        <x:v>0</x:v>
      </x:c>
      <x:c r="W28" s="28" t="str">
        <x:v>لا</x:v>
      </x:c>
      <x:c r="X28" s="28" t="str">
        <x:v>لا</x:v>
      </x:c>
      <x:c r="Y28" s="28" t="str">
        <x:v>مراجعة المطالبة حتى أغسطس وتوثيق استمرار الحيازة أو تاريخ انتهائها.</x:v>
      </x:c>
      <x:c r="Z28" s="28" t="str">
        <x:v>قضية: CASE-26-0052</x:v>
      </x:c>
    </x:row>
    <x:row r="29" ht="38" customHeight="1">
      <x:c r="A29" s="28" t="str">
        <x:v>599720</x:v>
      </x:c>
      <x:c r="B29" s="28" t="str">
        <x:v>انور بن علي الذهبي</x:v>
      </x:c>
      <x:c r="C29" s="85" t="n">
        <x:v>45778</x:v>
      </x:c>
      <x:c r="D29" s="28" t="str">
        <x:v>C-ALF-0042</x:v>
      </x:c>
      <x:c r="E29" s="28" t="str">
        <x:v>انور بن علي الذهبي</x:v>
      </x:c>
      <x:c r="F29" s="28" t="str">
        <x:v>إجراء قانوني</x:v>
      </x:c>
      <x:c r="G29" s="28" t="str">
        <x:v>لا</x:v>
      </x:c>
      <x:c r="H29" s="28" t="str">
        <x:v>نعم</x:v>
      </x:c>
      <x:c r="I29" s="85" t="n">
        <x:v>45778</x:v>
      </x:c>
      <x:c r="J29" s="85" t="n">
        <x:v>46387</x:v>
      </x:c>
      <x:c r="K29" s="37" t="n">
        <x:v>1700</x:v>
      </x:c>
      <x:c r="L29" s="37" t="n">
        <x:v>8800</x:v>
      </x:c>
      <x:c r="M29" s="37" t="n">
        <x:v>2000</x:v>
      </x:c>
      <x:c r="N29" s="37" t="n">
        <x:v>0</x:v>
      </x:c>
      <x:c r="O29" s="37" t="n">
        <x:v>5100</x:v>
      </x:c>
      <x:c r="P29" s="37" t="n">
        <x:v>1000</x:v>
      </x:c>
      <x:c r="Q29" s="37" t="n">
        <x:v>0</x:v>
      </x:c>
      <x:c r="R29" s="37" t="n">
        <x:v>2000</x:v>
      </x:c>
      <x:c r="S29" s="37" t="n">
        <x:v>1000</x:v>
      </x:c>
      <x:c r="T29" s="37" t="n">
        <x:f>R29+S29</x:f>
        <x:v>3000</x:v>
      </x:c>
      <x:c r="U29" s="37" t="n">
        <x:v>4000</x:v>
      </x:c>
      <x:c r="V29" s="37" t="n">
        <x:f>MAX(0,U29-T29)</x:f>
        <x:v>1000</x:v>
      </x:c>
      <x:c r="W29" s="28" t="str">
        <x:v>نعم</x:v>
      </x:c>
      <x:c r="X29" s="28" t="str">
        <x:v>لا</x:v>
      </x:c>
      <x:c r="Y29" s="28" t="str">
        <x:v>مراجعة المطالبة حتى أغسطس وتوثيق استمرار الحيازة أو تاريخ انتهائها.</x:v>
      </x:c>
      <x:c r="Z29" s="28" t="str">
        <x:v>قضية: CASE-26-0051</x:v>
      </x:c>
    </x:row>
    <x:row r="30" ht="38" customHeight="1">
      <x:c r="A30" s="28" t="str">
        <x:v>10172</x:v>
      </x:c>
      <x:c r="B30" s="28" t="str">
        <x:v>أنور محمد إبراهيم محمد</x:v>
      </x:c>
      <x:c r="C30" s="85" t="n">
        <x:v>45397</x:v>
      </x:c>
      <x:c r="D30" s="28" t="str">
        <x:v>C-ALF-0001</x:v>
      </x:c>
      <x:c r="E30" s="28" t="str">
        <x:v>أنور محمد إبراهيم محمد</x:v>
      </x:c>
      <x:c r="F30" s="28" t="str">
        <x:v>إجراء قانوني</x:v>
      </x:c>
      <x:c r="G30" s="28" t="str">
        <x:v>لا</x:v>
      </x:c>
      <x:c r="H30" s="28" t="str">
        <x:v>نعم</x:v>
      </x:c>
      <x:c r="I30" s="85" t="n">
        <x:v>45762</x:v>
      </x:c>
      <x:c r="J30" s="85" t="n">
        <x:v>46858</x:v>
      </x:c>
      <x:c r="K30" s="37" t="n">
        <x:v>1300</x:v>
      </x:c>
      <x:c r="L30" s="37" t="n">
        <x:v>19800</x:v>
      </x:c>
      <x:c r="M30" s="37" t="n">
        <x:v>0</x:v>
      </x:c>
      <x:c r="N30" s="37" t="n">
        <x:v>0</x:v>
      </x:c>
      <x:c r="O30" s="37" t="n">
        <x:v>5200</x:v>
      </x:c>
      <x:c r="P30" s="37" t="n">
        <x:v>800</x:v>
      </x:c>
      <x:c r="Q30" s="37" t="n">
        <x:v>0</x:v>
      </x:c>
      <x:c r="R30" s="37" t="n">
        <x:v>0</x:v>
      </x:c>
      <x:c r="S30" s="37" t="n">
        <x:v>800</x:v>
      </x:c>
      <x:c r="T30" s="37" t="n">
        <x:f>R30+S30</x:f>
        <x:v>800</x:v>
      </x:c>
      <x:c r="U30" s="37" t="n">
        <x:v>0</x:v>
      </x:c>
      <x:c r="V30" s="37" t="n">
        <x:f>MAX(0,U30-T30)</x:f>
        <x:v>0</x:v>
      </x:c>
      <x:c r="W30" s="28" t="str">
        <x:v>لا</x:v>
      </x:c>
      <x:c r="X30" s="28" t="str">
        <x:v>لا</x:v>
      </x:c>
      <x:c r="Y30" s="28" t="str">
        <x:v>مراجعة المطالبة حتى أغسطس وتوثيق استمرار الحيازة أو تاريخ انتهائها.</x:v>
      </x:c>
      <x:c r="Z30" s="28" t="str">
        <x:v>قضية: CASE-26-0047</x:v>
      </x:c>
    </x:row>
    <x:row r="31" ht="38" customHeight="1">
      <x:c r="A31" s="28" t="str">
        <x:v>10197</x:v>
      </x:c>
      <x:c r="B31" s="28" t="str">
        <x:v>احمد الشيخ الصديق هاشم الوسيله</x:v>
      </x:c>
      <x:c r="C31" s="85" t="n">
        <x:v>45514</x:v>
      </x:c>
      <x:c r="D31" s="28" t="str">
        <x:v>LTO2024270</x:v>
      </x:c>
      <x:c r="E31" s="28" t="str">
        <x:v>احمد الشيخ الصديق هاشم الوسيله</x:v>
      </x:c>
      <x:c r="F31" s="28" t="str">
        <x:v>إجراء قانوني</x:v>
      </x:c>
      <x:c r="G31" s="28" t="str">
        <x:v>لا</x:v>
      </x:c>
      <x:c r="H31" s="28" t="str">
        <x:v>نعم</x:v>
      </x:c>
      <x:c r="I31" s="85" t="n">
        <x:v>45514</x:v>
      </x:c>
      <x:c r="J31" s="85" t="n">
        <x:v>46569</x:v>
      </x:c>
      <x:c r="K31" s="37" t="n">
        <x:v>1250</x:v>
      </x:c>
      <x:c r="L31" s="37" t="n">
        <x:v>22300</x:v>
      </x:c>
      <x:c r="M31" s="37" t="n">
        <x:v>8550</x:v>
      </x:c>
      <x:c r="N31" s="37" t="n">
        <x:v>0</x:v>
      </x:c>
      <x:c r="O31" s="37" t="n">
        <x:v>13750</x:v>
      </x:c>
      <x:c r="P31" s="37" t="n">
        <x:v>19600</x:v>
      </x:c>
      <x:c r="Q31" s="37" t="n">
        <x:v>0</x:v>
      </x:c>
      <x:c r="R31" s="37" t="n">
        <x:v>8550</x:v>
      </x:c>
      <x:c r="S31" s="37" t="n">
        <x:v>19600</x:v>
      </x:c>
      <x:c r="T31" s="37" t="n">
        <x:f>R31+S31</x:f>
        <x:v>28150</x:v>
      </x:c>
      <x:c r="U31" s="37" t="n">
        <x:v>47750</x:v>
      </x:c>
      <x:c r="V31" s="37" t="n">
        <x:f>MAX(0,U31-T31)</x:f>
        <x:v>19600</x:v>
      </x:c>
      <x:c r="W31" s="28" t="str">
        <x:v>نعم</x:v>
      </x:c>
      <x:c r="X31" s="28" t="str">
        <x:v>لا</x:v>
      </x:c>
      <x:c r="Y31" s="28" t="str">
        <x:v>مراجعة المطالبة حتى أغسطس وتوثيق استمرار الحيازة أو تاريخ انتهائها.</x:v>
      </x:c>
      <x:c r="Z31" s="28" t="str">
        <x:v>قضية: CASE-26-0010</x:v>
      </x:c>
    </x:row>
    <x:row r="32" ht="38" customHeight="1">
      <x:c r="A32" s="28" t="str">
        <x:v>862169</x:v>
      </x:c>
      <x:c r="B32" s="28" t="str">
        <x:v>عبد الرحيم شاكر احمد محمد</x:v>
      </x:c>
      <x:c r="C32" s="85" t="n">
        <x:v>45839</x:v>
      </x:c>
      <x:c r="D32" s="28" t="str">
        <x:v>C-ALF-0086</x:v>
      </x:c>
      <x:c r="E32" s="28" t="str">
        <x:v>عبد الرحيم شاكر احمد محمد</x:v>
      </x:c>
      <x:c r="F32" s="28" t="str">
        <x:v>ساري</x:v>
      </x:c>
      <x:c r="G32" s="28" t="str">
        <x:v>لا</x:v>
      </x:c>
      <x:c r="H32" s="28" t="str">
        <x:v>نعم</x:v>
      </x:c>
      <x:c r="I32" s="85" t="n">
        <x:v>45839</x:v>
      </x:c>
      <x:c r="J32" s="85" t="n">
        <x:v>46387</x:v>
      </x:c>
      <x:c r="K32" s="37" t="n">
        <x:v>1300</x:v>
      </x:c>
      <x:c r="L32" s="37" t="n">
        <x:v>11600</x:v>
      </x:c>
      <x:c r="M32" s="37" t="n">
        <x:v>17400</x:v>
      </x:c>
      <x:c r="N32" s="37" t="n">
        <x:v>0</x:v>
      </x:c>
      <x:c r="O32" s="37" t="n">
        <x:v>10400</x:v>
      </x:c>
      <x:c r="P32" s="37" t="n">
        <x:v>0</x:v>
      </x:c>
      <x:c r="Q32" s="37" t="n">
        <x:v>0</x:v>
      </x:c>
      <x:c r="R32" s="37" t="n">
        <x:v>0</x:v>
      </x:c>
      <x:c r="S32" s="37" t="n">
        <x:v>0</x:v>
      </x:c>
      <x:c r="T32" s="37" t="n">
        <x:f>R32+S32</x:f>
        <x:v>0</x:v>
      </x:c>
      <x:c r="U32" s="37" t="n">
        <x:v>0</x:v>
      </x:c>
      <x:c r="V32" s="37" t="n">
        <x:f>MAX(0,U32-T32)</x:f>
        <x:v>0</x:v>
      </x:c>
      <x:c r="W32" s="28" t="str">
        <x:v>لا</x:v>
      </x:c>
      <x:c r="X32" s="28" t="str">
        <x:v>لا</x:v>
      </x:c>
      <x:c r="Y32" s="28" t="str">
        <x:v>العقد الحالي الصحيح؛ لا مطالبة قانونية عليه من هذه التسوية.</x:v>
      </x:c>
      <x:c r="Z32" s="28" t="str"/>
    </x:row>
    <x:row r="33" ht="38" customHeight="1">
      <x:c r="A33" s="28" t="str">
        <x:v>862165</x:v>
      </x:c>
      <x:c r="B33" s="28" t="str">
        <x:v>مهدي الشريف عبد الرحيم يوسف</x:v>
      </x:c>
      <x:c r="C33" s="85" t="n">
        <x:v>45901</x:v>
      </x:c>
      <x:c r="D33" s="28" t="str">
        <x:v>LTO2024283</x:v>
      </x:c>
      <x:c r="E33" s="28" t="str">
        <x:v>فهد الشريف عبد الرحيم يوسف</x:v>
      </x:c>
      <x:c r="F33" s="28" t="str">
        <x:v>ساري</x:v>
      </x:c>
      <x:c r="G33" s="28" t="str">
        <x:v>لا</x:v>
      </x:c>
      <x:c r="H33" s="28" t="str">
        <x:v>لا</x:v>
      </x:c>
      <x:c r="I33" s="85" t="n">
        <x:v>45528</x:v>
      </x:c>
      <x:c r="J33" s="85" t="n">
        <x:v>46631</x:v>
      </x:c>
      <x:c r="K33" s="37" t="n">
        <x:v>1500</x:v>
      </x:c>
      <x:c r="L33" s="37" t="n">
        <x:v>50650</x:v>
      </x:c>
      <x:c r="M33" s="37" t="n">
        <x:v>8150</x:v>
      </x:c>
      <x:c r="N33" s="37" t="n">
        <x:v>0</x:v>
      </x:c>
      <x:c r="O33" s="37" t="n">
        <x:v>5200</x:v>
      </x:c>
      <x:c r="P33" s="37" t="n">
        <x:v>100</x:v>
      </x:c>
      <x:c r="Q33" s="37" t="n">
        <x:v>0</x:v>
      </x:c>
      <x:c r="R33" s="37" t="n">
        <x:v>0</x:v>
      </x:c>
      <x:c r="S33" s="37" t="n">
        <x:v>0</x:v>
      </x:c>
      <x:c r="T33" s="37" t="n">
        <x:f>R33+S33</x:f>
        <x:v>0</x:v>
      </x:c>
      <x:c r="U33" s="37" t="n">
        <x:v>0</x:v>
      </x:c>
      <x:c r="V33" s="37" t="n">
        <x:f>MAX(0,U33-T33)</x:f>
        <x:v>0</x:v>
      </x:c>
      <x:c r="W33" s="28" t="str">
        <x:v>نعم</x:v>
      </x:c>
      <x:c r="X33" s="28" t="str">
        <x:v>لا</x:v>
      </x:c>
      <x:c r="Y33" s="28" t="str">
        <x:v>إلغاء/إنهاء عهدة القديم عند بداية الجديد، وإبقاء المطالبة حتى القطع فقط.</x:v>
      </x:c>
      <x:c r="Z33" s="28" t="str">
        <x:v>المبلغ المقترح يستبعد ما بعد بداية المستأجر الجديد.</x:v>
      </x:c>
    </x:row>
    <x:row r="34" ht="38" customHeight="1">
      <x:c r="A34" s="28" t="str">
        <x:v>10663</x:v>
      </x:c>
      <x:c r="B34" s="28" t="str">
        <x:v>علاء الدين علي دباش</x:v>
      </x:c>
      <x:c r="C34" s="85" t="n">
        <x:v>45901</x:v>
      </x:c>
      <x:c r="D34" s="28" t="str">
        <x:v>CON-26-V1KPVI</x:v>
      </x:c>
      <x:c r="E34" s="28" t="str">
        <x:v>علاء الدين خميس حسين</x:v>
      </x:c>
      <x:c r="F34" s="28" t="str">
        <x:v>ساري</x:v>
      </x:c>
      <x:c r="G34" s="28" t="str">
        <x:v>لا</x:v>
      </x:c>
      <x:c r="H34" s="28" t="str">
        <x:v>لا</x:v>
      </x:c>
      <x:c r="I34" s="85" t="n">
        <x:v>45901</x:v>
      </x:c>
      <x:c r="J34" s="85" t="n">
        <x:v>46600</x:v>
      </x:c>
      <x:c r="K34" s="37" t="n">
        <x:v>1500</x:v>
      </x:c>
      <x:c r="L34" s="37" t="n">
        <x:v>33300</x:v>
      </x:c>
      <x:c r="M34" s="37" t="n">
        <x:v>13800</x:v>
      </x:c>
      <x:c r="N34" s="37" t="n">
        <x:v>0</x:v>
      </x:c>
      <x:c r="O34" s="37" t="n">
        <x:v>18000</x:v>
      </x:c>
      <x:c r="P34" s="37" t="n">
        <x:v>4100</x:v>
      </x:c>
      <x:c r="Q34" s="37" t="n">
        <x:v>0</x:v>
      </x:c>
      <x:c r="R34" s="37" t="n">
        <x:v>0</x:v>
      </x:c>
      <x:c r="S34" s="37" t="n">
        <x:v>0</x:v>
      </x:c>
      <x:c r="T34" s="37" t="n">
        <x:f>R34+S34</x:f>
        <x:v>0</x:v>
      </x:c>
      <x:c r="U34" s="37" t="n">
        <x:v>0</x:v>
      </x:c>
      <x:c r="V34" s="37" t="n">
        <x:f>MAX(0,U34-T34)</x:f>
        <x:v>0</x:v>
      </x:c>
      <x:c r="W34" s="28" t="str">
        <x:v>لا</x:v>
      </x:c>
      <x:c r="X34" s="28" t="str">
        <x:v>لا</x:v>
      </x:c>
      <x:c r="Y34" s="28" t="str">
        <x:v>إلغاء/إنهاء عهدة القديم عند بداية الجديد، وإبقاء المطالبة حتى القطع فقط.</x:v>
      </x:c>
      <x:c r="Z34" s="28" t="str">
        <x:v>المبلغ المقترح يستبعد ما بعد بداية المستأجر الجديد.</x:v>
      </x:c>
    </x:row>
    <x:row r="35" ht="38" customHeight="1">
      <x:c r="A35" s="28" t="str">
        <x:v>10668</x:v>
      </x:c>
      <x:c r="B35" s="28" t="str">
        <x:v>عبد المنعم حسن حمدي</x:v>
      </x:c>
      <x:c r="C35" s="85" t="n">
        <x:v>45717</x:v>
      </x:c>
      <x:c r="D35" s="28" t="str">
        <x:v>AGR-202504-400949</x:v>
      </x:c>
      <x:c r="E35" s="28" t="str">
        <x:v>عبد المنعم حسن حمدي</x:v>
      </x:c>
      <x:c r="F35" s="28" t="str">
        <x:v>إجراء قانوني</x:v>
      </x:c>
      <x:c r="G35" s="28" t="str">
        <x:v>لا</x:v>
      </x:c>
      <x:c r="H35" s="28" t="str">
        <x:v>نعم</x:v>
      </x:c>
      <x:c r="I35" s="85" t="n">
        <x:v>45660</x:v>
      </x:c>
      <x:c r="J35" s="85" t="n">
        <x:v>46756</x:v>
      </x:c>
      <x:c r="K35" s="37" t="n">
        <x:v>1500</x:v>
      </x:c>
      <x:c r="L35" s="37" t="n">
        <x:v>46800</x:v>
      </x:c>
      <x:c r="M35" s="37" t="n">
        <x:v>42600</x:v>
      </x:c>
      <x:c r="N35" s="37" t="n">
        <x:v>3000</x:v>
      </x:c>
      <x:c r="O35" s="37" t="n">
        <x:v>51000</x:v>
      </x:c>
      <x:c r="P35" s="37" t="n">
        <x:v>0</x:v>
      </x:c>
      <x:c r="Q35" s="37" t="n">
        <x:v>0</x:v>
      </x:c>
      <x:c r="R35" s="37" t="n">
        <x:v>42600</x:v>
      </x:c>
      <x:c r="S35" s="37" t="n">
        <x:v>0</x:v>
      </x:c>
      <x:c r="T35" s="37" t="n">
        <x:f>R35+S35</x:f>
        <x:v>42600</x:v>
      </x:c>
      <x:c r="U35" s="37" t="n">
        <x:v>21300</x:v>
      </x:c>
      <x:c r="V35" s="37" t="n">
        <x:f>MAX(0,U35-T35)</x:f>
        <x:v>0</x:v>
      </x:c>
      <x:c r="W35" s="28" t="str">
        <x:v>لا</x:v>
      </x:c>
      <x:c r="X35" s="28" t="str">
        <x:v>لا</x:v>
      </x:c>
      <x:c r="Y35" s="28" t="str">
        <x:v>مراجعة المطالبة حتى أغسطس وتوثيق استمرار الحيازة أو تاريخ انتهائها.</x:v>
      </x:c>
      <x:c r="Z35" s="28" t="str">
        <x:v>قضية: CASE-26-0050</x:v>
      </x:c>
    </x:row>
    <x:row r="36" ht="38" customHeight="1">
      <x:c r="A36" s="28" t="str">
        <x:v>10853</x:v>
      </x:c>
      <x:c r="B36" s="28" t="str">
        <x:v>محمد علی محمد خالد</x:v>
      </x:c>
      <x:c r="C36" s="85" t="n">
        <x:v>46023</x:v>
      </x:c>
      <x:c r="D36" s="28" t="str">
        <x:v>C-ALF-0099</x:v>
      </x:c>
      <x:c r="E36" s="28" t="str">
        <x:v>محمد ابراهيم نور غد غول</x:v>
      </x:c>
      <x:c r="F36" s="28" t="str">
        <x:v>إجراء قانوني</x:v>
      </x:c>
      <x:c r="G36" s="28" t="str">
        <x:v>لا</x:v>
      </x:c>
      <x:c r="H36" s="28" t="str">
        <x:v>لا</x:v>
      </x:c>
      <x:c r="I36" s="85" t="n">
        <x:v>45945</x:v>
      </x:c>
      <x:c r="J36" s="85" t="n">
        <x:v>46387</x:v>
      </x:c>
      <x:c r="K36" s="37" t="n">
        <x:v>1500</x:v>
      </x:c>
      <x:c r="L36" s="37" t="n">
        <x:v>22500</x:v>
      </x:c>
      <x:c r="M36" s="37" t="n">
        <x:v>15000</x:v>
      </x:c>
      <x:c r="N36" s="37" t="n">
        <x:v>4500</x:v>
      </x:c>
      <x:c r="O36" s="37" t="n">
        <x:v>3000</x:v>
      </x:c>
      <x:c r="P36" s="37" t="n">
        <x:v>100</x:v>
      </x:c>
      <x:c r="Q36" s="37" t="n">
        <x:v>0</x:v>
      </x:c>
      <x:c r="R36" s="37" t="n">
        <x:v>4500</x:v>
      </x:c>
      <x:c r="S36" s="37" t="n">
        <x:v>0</x:v>
      </x:c>
      <x:c r="T36" s="37" t="n">
        <x:f>R36+S36</x:f>
        <x:v>4500</x:v>
      </x:c>
      <x:c r="U36" s="37" t="n">
        <x:v>22600</x:v>
      </x:c>
      <x:c r="V36" s="37" t="n">
        <x:f>MAX(0,U36-T36)</x:f>
        <x:v>18100</x:v>
      </x:c>
      <x:c r="W36" s="28" t="str">
        <x:v>نعم</x:v>
      </x:c>
      <x:c r="X36" s="28" t="str">
        <x:v>لا</x:v>
      </x:c>
      <x:c r="Y36" s="28" t="str">
        <x:v>إلغاء/إنهاء عهدة القديم عند بداية الجديد، وإبقاء المطالبة حتى القطع فقط.</x:v>
      </x:c>
      <x:c r="Z36" s="28" t="str">
        <x:v>المبلغ المقترح يستبعد ما بعد بداية المستأجر الجديد.، قضية: CASE-26-0045</x:v>
      </x:c>
    </x:row>
    <x:row r="37" ht="38" customHeight="1">
      <x:c r="A37" s="28" t="str">
        <x:v>10857</x:v>
      </x:c>
      <x:c r="B37" s="28" t="str">
        <x:v>شمس الدين خلفة</x:v>
      </x:c>
      <x:c r="C37" s="85" t="n">
        <x:v>46028</x:v>
      </x:c>
      <x:c r="D37" s="28" t="str">
        <x:v>C-ALF-0100</x:v>
      </x:c>
      <x:c r="E37" s="28" t="str">
        <x:v>مجدي احمد عبدالله علي</x:v>
      </x:c>
      <x:c r="F37" s="28" t="str">
        <x:v>ساري</x:v>
      </x:c>
      <x:c r="G37" s="28" t="str">
        <x:v>لا</x:v>
      </x:c>
      <x:c r="H37" s="28" t="str">
        <x:v>لا</x:v>
      </x:c>
      <x:c r="I37" s="85" t="n">
        <x:v>45785</x:v>
      </x:c>
      <x:c r="J37" s="85" t="n">
        <x:v>46387</x:v>
      </x:c>
      <x:c r="K37" s="37" t="n">
        <x:v>1500</x:v>
      </x:c>
      <x:c r="L37" s="37" t="n">
        <x:v>24000</x:v>
      </x:c>
      <x:c r="M37" s="37" t="n">
        <x:v>15000</x:v>
      </x:c>
      <x:c r="N37" s="37" t="n">
        <x:v>6000</x:v>
      </x:c>
      <x:c r="O37" s="37" t="n">
        <x:v>6000</x:v>
      </x:c>
      <x:c r="P37" s="37" t="n">
        <x:v>2300</x:v>
      </x:c>
      <x:c r="Q37" s="37" t="n">
        <x:v>1300</x:v>
      </x:c>
      <x:c r="R37" s="37" t="n">
        <x:v>6000</x:v>
      </x:c>
      <x:c r="S37" s="37" t="n">
        <x:v>1300</x:v>
      </x:c>
      <x:c r="T37" s="37" t="n">
        <x:f>R37+S37</x:f>
        <x:v>7300</x:v>
      </x:c>
      <x:c r="U37" s="37" t="n">
        <x:v>0</x:v>
      </x:c>
      <x:c r="V37" s="37" t="n">
        <x:f>MAX(0,U37-T37)</x:f>
        <x:v>0</x:v>
      </x:c>
      <x:c r="W37" s="28" t="str">
        <x:v>لا</x:v>
      </x:c>
      <x:c r="X37" s="28" t="str">
        <x:v>لا</x:v>
      </x:c>
      <x:c r="Y37" s="28" t="str">
        <x:v>إلغاء/إنهاء عهدة القديم عند بداية الجديد، وإبقاء المطالبة حتى القطع فقط.</x:v>
      </x:c>
      <x:c r="Z37" s="28" t="str">
        <x:v>المبلغ المقترح يستبعد ما بعد بداية المستأجر الجديد.</x:v>
      </x:c>
    </x:row>
    <x:row r="38" ht="38" customHeight="1">
      <x:c r="A38" s="28" t="str">
        <x:v>4016</x:v>
      </x:c>
      <x:c r="B38" s="28" t="str">
        <x:v>عبد الرزاق حمد حماد الهنيديس</x:v>
      </x:c>
      <x:c r="C38" s="85" t="n">
        <x:v>45992</x:v>
      </x:c>
      <x:c r="D38" s="28" t="str">
        <x:v>CON-25-ZV0RA7</x:v>
      </x:c>
      <x:c r="E38" s="28" t="str">
        <x:v>عبد الرزاق حمد حماد الهنيديس</x:v>
      </x:c>
      <x:c r="F38" s="28" t="str">
        <x:v>إجراء قانوني</x:v>
      </x:c>
      <x:c r="G38" s="28" t="str">
        <x:v>لا</x:v>
      </x:c>
      <x:c r="H38" s="28" t="str">
        <x:v>نعم</x:v>
      </x:c>
      <x:c r="I38" s="85" t="n">
        <x:v>46010</x:v>
      </x:c>
      <x:c r="J38" s="85" t="n">
        <x:v>46905</x:v>
      </x:c>
      <x:c r="K38" s="37" t="n">
        <x:v>1600</x:v>
      </x:c>
      <x:c r="L38" s="37" t="n">
        <x:v>43000</x:v>
      </x:c>
      <x:c r="M38" s="37" t="n">
        <x:v>6400</x:v>
      </x:c>
      <x:c r="N38" s="37" t="n">
        <x:v>0</x:v>
      </x:c>
      <x:c r="O38" s="37" t="n">
        <x:v>30400</x:v>
      </x:c>
      <x:c r="P38" s="37" t="n">
        <x:v>0</x:v>
      </x:c>
      <x:c r="Q38" s="37" t="n">
        <x:v>0</x:v>
      </x:c>
      <x:c r="R38" s="37" t="n">
        <x:v>6400</x:v>
      </x:c>
      <x:c r="S38" s="37" t="n">
        <x:v>0</x:v>
      </x:c>
      <x:c r="T38" s="37" t="n">
        <x:f>R38+S38</x:f>
        <x:v>6400</x:v>
      </x:c>
      <x:c r="U38" s="37" t="n">
        <x:v>9500</x:v>
      </x:c>
      <x:c r="V38" s="37" t="n">
        <x:f>MAX(0,U38-T38)</x:f>
        <x:v>3100</x:v>
      </x:c>
      <x:c r="W38" s="28" t="str">
        <x:v>نعم</x:v>
      </x:c>
      <x:c r="X38" s="28" t="str">
        <x:v>لا</x:v>
      </x:c>
      <x:c r="Y38" s="28" t="str">
        <x:v>مراجعة المطالبة حتى أغسطس وتوثيق استمرار الحيازة أو تاريخ انتهائها.</x:v>
      </x:c>
      <x:c r="Z38" s="28" t="str">
        <x:v>قضية: CASE-26-0046</x:v>
      </x:c>
    </x:row>
    <x:row r="39" ht="38" customHeight="1">
      <x:c r="A39" s="28" t="str">
        <x:v>4018</x:v>
      </x:c>
      <x:c r="B39" s="28" t="str">
        <x:v>عبد الرحيم شاكر احمد محمد</x:v>
      </x:c>
      <x:c r="C39" s="85" t="n">
        <x:v>45330</x:v>
      </x:c>
      <x:c r="D39" s="28" t="str">
        <x:v>C-ALF-0033</x:v>
      </x:c>
      <x:c r="E39" s="28" t="str">
        <x:v>عبد الرحيم شاكر احمد محمد</x:v>
      </x:c>
      <x:c r="F39" s="28" t="str">
        <x:v>إجراء قانوني</x:v>
      </x:c>
      <x:c r="G39" s="28" t="str">
        <x:v>لا</x:v>
      </x:c>
      <x:c r="H39" s="28" t="str">
        <x:v>نعم</x:v>
      </x:c>
      <x:c r="I39" s="85" t="n">
        <x:v>45330</x:v>
      </x:c>
      <x:c r="J39" s="85" t="n">
        <x:v>46395</x:v>
      </x:c>
      <x:c r="K39" s="37" t="n">
        <x:v>1700</x:v>
      </x:c>
      <x:c r="L39" s="37" t="n">
        <x:v>20340</x:v>
      </x:c>
      <x:c r="M39" s="37" t="n">
        <x:v>25380</x:v>
      </x:c>
      <x:c r="N39" s="37" t="n">
        <x:v>0</x:v>
      </x:c>
      <x:c r="O39" s="37" t="n">
        <x:v>11900</x:v>
      </x:c>
      <x:c r="P39" s="37" t="n">
        <x:v>500</x:v>
      </x:c>
      <x:c r="Q39" s="37" t="n">
        <x:v>0</x:v>
      </x:c>
      <x:c r="R39" s="37" t="n">
        <x:v>25380</x:v>
      </x:c>
      <x:c r="S39" s="37" t="n">
        <x:v>500</x:v>
      </x:c>
      <x:c r="T39" s="37" t="n">
        <x:f>R39+S39</x:f>
        <x:v>25880</x:v>
      </x:c>
      <x:c r="U39" s="37" t="n">
        <x:v>14040</x:v>
      </x:c>
      <x:c r="V39" s="37" t="n">
        <x:f>MAX(0,U39-T39)</x:f>
        <x:v>0</x:v>
      </x:c>
      <x:c r="W39" s="28" t="str">
        <x:v>نعم</x:v>
      </x:c>
      <x:c r="X39" s="28" t="str">
        <x:v>لا</x:v>
      </x:c>
      <x:c r="Y39" s="28" t="str">
        <x:v>مراجعة المطالبة حتى أغسطس وتوثيق استمرار الحيازة أو تاريخ انتهائها.</x:v>
      </x:c>
      <x:c r="Z39" s="28" t="str">
        <x:v>قضية: CASE-26-0055</x:v>
      </x:c>
    </x:row>
    <x:row r="40" ht="38" customHeight="1">
      <x:c r="A40" s="28" t="str">
        <x:v>8204</x:v>
      </x:c>
      <x:c r="B40" s="28" t="str">
        <x:v>سيف الدين محمد صالح حسين</x:v>
      </x:c>
      <x:c r="C40" s="85" t="n">
        <x:v>45783</x:v>
      </x:c>
      <x:c r="D40" s="28" t="str">
        <x:v>LTO2024150</x:v>
      </x:c>
      <x:c r="E40" s="28" t="str">
        <x:v>الحبيب الحوسين الخليفي</x:v>
      </x:c>
      <x:c r="F40" s="28" t="str">
        <x:v>إجراء قانوني</x:v>
      </x:c>
      <x:c r="G40" s="28" t="str">
        <x:v>نعم</x:v>
      </x:c>
      <x:c r="H40" s="28" t="str">
        <x:v>لا</x:v>
      </x:c>
      <x:c r="I40" s="85" t="n">
        <x:v>45419</x:v>
      </x:c>
      <x:c r="J40" s="85" t="n">
        <x:v>46483</x:v>
      </x:c>
      <x:c r="K40" s="37" t="n">
        <x:v>2000</x:v>
      </x:c>
      <x:c r="L40" s="37" t="n">
        <x:v>61495</x:v>
      </x:c>
      <x:c r="M40" s="37" t="n">
        <x:v>41495</x:v>
      </x:c>
      <x:c r="N40" s="37" t="n">
        <x:v>9495</x:v>
      </x:c>
      <x:c r="O40" s="37" t="n">
        <x:v>18000</x:v>
      </x:c>
      <x:c r="P40" s="37" t="n">
        <x:v>10800</x:v>
      </x:c>
      <x:c r="Q40" s="37" t="n">
        <x:v>10800</x:v>
      </x:c>
      <x:c r="R40" s="37" t="n">
        <x:v>9495</x:v>
      </x:c>
      <x:c r="S40" s="37" t="n">
        <x:v>10800</x:v>
      </x:c>
      <x:c r="T40" s="37" t="n">
        <x:f>R40+S40</x:f>
        <x:v>20295</x:v>
      </x:c>
      <x:c r="U40" s="37" t="n">
        <x:v>122215</x:v>
      </x:c>
      <x:c r="V40" s="37" t="n">
        <x:f>MAX(0,U40-T40)</x:f>
        <x:v>101920</x:v>
      </x:c>
      <x:c r="W40" s="28" t="str">
        <x:v>لا</x:v>
      </x:c>
      <x:c r="X40" s="28" t="str">
        <x:v>لا</x:v>
      </x:c>
      <x:c r="Y40" s="28" t="str">
        <x:v>إلغاء/إنهاء عهدة القديم عند بداية الجديد، وإبقاء المطالبة حتى القطع فقط.</x:v>
      </x:c>
      <x:c r="Z40" s="28" t="str">
        <x:v>المبلغ المقترح يستبعد ما بعد بداية المستأجر الجديد.، قضية: CASE-26-0023</x:v>
      </x:c>
    </x:row>
    <x:row r="41" ht="38" customHeight="1">
      <x:c r="A41" s="28" t="str">
        <x:v>8206</x:v>
      </x:c>
      <x:c r="B41" s="28" t="str">
        <x:v>محمد علي سليم</x:v>
      </x:c>
      <x:c r="C41" s="85" t="n">
        <x:v>45839</x:v>
      </x:c>
      <x:c r="D41" s="28" t="str">
        <x:v>C-ALF-0074</x:v>
      </x:c>
      <x:c r="E41" s="28" t="str">
        <x:v>محمد علي سليم</x:v>
      </x:c>
      <x:c r="F41" s="28" t="str">
        <x:v>ساري</x:v>
      </x:c>
      <x:c r="G41" s="28" t="str">
        <x:v>لا</x:v>
      </x:c>
      <x:c r="H41" s="28" t="str">
        <x:v>نعم</x:v>
      </x:c>
      <x:c r="I41" s="85" t="n">
        <x:v>45839</x:v>
      </x:c>
      <x:c r="J41" s="85" t="n">
        <x:v>46600</x:v>
      </x:c>
      <x:c r="K41" s="37" t="n">
        <x:v>1500</x:v>
      </x:c>
      <x:c r="L41" s="37" t="n">
        <x:v>34300</x:v>
      </x:c>
      <x:c r="M41" s="37" t="n">
        <x:v>18000</x:v>
      </x:c>
      <x:c r="N41" s="37" t="n">
        <x:v>0</x:v>
      </x:c>
      <x:c r="O41" s="37" t="n">
        <x:v>16500</x:v>
      </x:c>
      <x:c r="P41" s="37" t="n">
        <x:v>2100</x:v>
      </x:c>
      <x:c r="Q41" s="37" t="n">
        <x:v>0</x:v>
      </x:c>
      <x:c r="R41" s="37" t="n">
        <x:v>0</x:v>
      </x:c>
      <x:c r="S41" s="37" t="n">
        <x:v>0</x:v>
      </x:c>
      <x:c r="T41" s="37" t="n">
        <x:f>R41+S41</x:f>
        <x:v>0</x:v>
      </x:c>
      <x:c r="U41" s="37" t="n">
        <x:v>0</x:v>
      </x:c>
      <x:c r="V41" s="37" t="n">
        <x:f>MAX(0,U41-T41)</x:f>
        <x:v>0</x:v>
      </x:c>
      <x:c r="W41" s="28" t="str">
        <x:v>لا</x:v>
      </x:c>
      <x:c r="X41" s="28" t="str">
        <x:v>لا</x:v>
      </x:c>
      <x:c r="Y41" s="28" t="str">
        <x:v>العقد الحالي الصحيح؛ لا مطالبة قانونية عليه من هذه التسوية.</x:v>
      </x:c>
      <x:c r="Z41" s="28" t="str"/>
    </x:row>
    <x:row r="42" ht="38" customHeight="1">
      <x:c r="A42" s="28" t="str">
        <x:v>8206</x:v>
      </x:c>
      <x:c r="B42" s="28" t="str">
        <x:v>محمد علي سليم</x:v>
      </x:c>
      <x:c r="C42" s="85" t="n">
        <x:v>45839</x:v>
      </x:c>
      <x:c r="D42" s="28" t="str">
        <x:v>C-ALF-0071</x:v>
      </x:c>
      <x:c r="E42" s="28" t="str">
        <x:v>محمد صالح فرج حامد</x:v>
      </x:c>
      <x:c r="F42" s="28" t="str">
        <x:v>إجراء قانوني</x:v>
      </x:c>
      <x:c r="G42" s="28" t="str">
        <x:v>لا</x:v>
      </x:c>
      <x:c r="H42" s="28" t="str">
        <x:v>لا</x:v>
      </x:c>
      <x:c r="I42" s="85" t="n">
        <x:v>45848</x:v>
      </x:c>
      <x:c r="J42" s="85" t="n">
        <x:v>46387</x:v>
      </x:c>
      <x:c r="K42" s="37" t="n">
        <x:v>1600</x:v>
      </x:c>
      <x:c r="L42" s="37" t="n">
        <x:v>24100</x:v>
      </x:c>
      <x:c r="M42" s="37" t="n">
        <x:v>16000</x:v>
      </x:c>
      <x:c r="N42" s="37" t="n">
        <x:v>0</x:v>
      </x:c>
      <x:c r="O42" s="37" t="n">
        <x:v>4800</x:v>
      </x:c>
      <x:c r="P42" s="37" t="n">
        <x:v>0</x:v>
      </x:c>
      <x:c r="Q42" s="37" t="n">
        <x:v>0</x:v>
      </x:c>
      <x:c r="R42" s="37" t="n">
        <x:v>0</x:v>
      </x:c>
      <x:c r="S42" s="37" t="n">
        <x:v>0</x:v>
      </x:c>
      <x:c r="T42" s="37" t="n">
        <x:f>R42+S42</x:f>
        <x:v>0</x:v>
      </x:c>
      <x:c r="U42" s="37" t="n">
        <x:v>0</x:v>
      </x:c>
      <x:c r="V42" s="37" t="n">
        <x:f>MAX(0,U42-T42)</x:f>
        <x:v>0</x:v>
      </x:c>
      <x:c r="W42" s="28" t="str">
        <x:v>لا</x:v>
      </x:c>
      <x:c r="X42" s="28" t="str">
        <x:v>لا</x:v>
      </x:c>
      <x:c r="Y42" s="28" t="str">
        <x:v>إلغاء/إنهاء عهدة القديم عند بداية الجديد، وإبقاء المطالبة حتى القطع فقط.</x:v>
      </x:c>
      <x:c r="Z42" s="28" t="str">
        <x:v>المبلغ المقترح يستبعد ما بعد بداية المستأجر الجديد.</x:v>
      </x:c>
    </x:row>
  </x:sheetData>
  <x:mergeCells>
    <x:mergeCell ref="A1:Z1"/>
    <x:mergeCell ref="A2:Z2"/>
  </x:mergeCells>
  <x:conditionalFormatting sqref="V5:V42">
    <x:cfRule type="cellIs" dxfId="3" priority="1" operator="greaterThan">
      <x:formula>0</x:formula>
    </x:cfRule>
  </x:conditionalFormatting>
  <x:conditionalFormatting sqref="X5:X42">
    <x:cfRule type="containsText" dxfId="4" priority="2" operator="containsText" text="نعم"/>
  </x:conditionalFormatting>
  <x:pageMargins left="0.7" right="0.7" top="0.75" bottom="0.75" header="0.3" footer="0.3"/>
  <x:tableParts count="1">
    <x:tablePart xmlns:r="http://schemas.openxmlformats.org/officeDocument/2006/relationships" r:id="R44806ba7f8924c9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30" hidden="0" customWidth="1"/>
    <x:col min="4" max="4" width="34" hidden="0" customWidth="1"/>
    <x:col min="5" max="5" width="16" hidden="0" customWidth="1"/>
    <x:col min="6" max="6" width="18" hidden="0" customWidth="1"/>
    <x:col min="7" max="7" width="22" hidden="0" customWidth="1"/>
    <x:col min="8" max="8" width="14" hidden="0" customWidth="1"/>
    <x:col min="9" max="9" width="22" hidden="0" customWidth="1"/>
    <x:col min="10" max="10" width="34" hidden="0" customWidth="1"/>
  </x:cols>
  <x:sheetData>
    <x:row r="1" ht="34" customHeight="1">
      <x:c r="A1" s="4" t="str">
        <x:v>ضبط أسماء العملاء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9" t="str">
        <x:v>التطبيع يعالج فروق الألف والهمزة والياء والتشكيل فقط. لا يتم دمج سجلات العملاء تلقائياً دون هوية أو هاتف مؤكد.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34" customHeight="1">
      <x:c r="A4" s="18" t="str">
        <x:v>اللوحة</x:v>
      </x:c>
      <x:c r="B4" s="84" t="str">
        <x:v>اسم ملف أغسطس</x:v>
      </x:c>
      <x:c r="C4" s="84" t="str">
        <x:v>الاسم النظامي في الملف</x:v>
      </x:c>
      <x:c r="D4" s="84" t="str">
        <x:v>الاسم/الأسماء المطابقة بالنظام</x:v>
      </x:c>
      <x:c r="E4" s="84" t="str">
        <x:v>الهاتف في أغسطس</x:v>
      </x:c>
      <x:c r="F4" s="84" t="str">
        <x:v>هاتف النظام</x:v>
      </x:c>
      <x:c r="G4" s="84" t="str">
        <x:v>الرقم الشخصي/الجواز</x:v>
      </x:c>
      <x:c r="H4" s="84" t="str">
        <x:v>عدد سجلات العملاء</x:v>
      </x:c>
      <x:c r="I4" s="84" t="str">
        <x:v>نتيجة المطابقة</x:v>
      </x:c>
      <x:c r="J4" s="19" t="str">
        <x:v>ملاحظة</x:v>
      </x:c>
    </x:row>
    <x:row r="5" ht="32" customHeight="1">
      <x:c r="A5" s="27" t="str">
        <x:v>21860</x:v>
      </x:c>
      <x:c r="B5" s="27" t="str">
        <x:v>محمد ضياء العويني</x:v>
      </x:c>
      <x:c r="C5" s="27" t="str">
        <x:v>محمد ضياء العويني</x:v>
      </x:c>
      <x:c r="D5" s="27" t="str">
        <x:v>محمد ضياء العويني</x:v>
      </x:c>
      <x:c r="E5" s="27" t="str">
        <x:v>66816813</x:v>
      </x:c>
      <x:c r="F5" s="27" t="str">
        <x:v>66816813</x:v>
      </x:c>
      <x:c r="G5" s="27" t="str">
        <x:v>29678801714</x:v>
      </x:c>
      <x:c r="H5" s="79" t="n">
        <x:v>1</x:v>
      </x:c>
      <x:c r="I5" s="27" t="str">
        <x:v>مطابق بعد التطبيع</x:v>
      </x:c>
      <x:c r="J5" s="27" t="str"/>
    </x:row>
    <x:row r="6" ht="32" customHeight="1">
      <x:c r="A6" s="28" t="str">
        <x:v>648144</x:v>
      </x:c>
      <x:c r="B6" s="28" t="str">
        <x:v>سفيان المختار الصالح</x:v>
      </x:c>
      <x:c r="C6" s="28" t="str">
        <x:v>سفيان المختار الصالح</x:v>
      </x:c>
      <x:c r="D6" s="28" t="str"/>
      <x:c r="E6" s="28" t="str"/>
      <x:c r="F6" s="28" t="str"/>
      <x:c r="G6" s="28" t="str"/>
      <x:c r="H6" s="38" t="n">
        <x:v>0</x:v>
      </x:c>
      <x:c r="I6" s="28" t="str">
        <x:v>غير موجود</x:v>
      </x:c>
      <x:c r="J6" s="28" t="str"/>
    </x:row>
    <x:row r="7" ht="32" customHeight="1">
      <x:c r="A7" s="28" t="str">
        <x:v>676281</x:v>
      </x:c>
      <x:c r="B7" s="28" t="str">
        <x:v>حمزة بادو</x:v>
      </x:c>
      <x:c r="C7" s="28" t="str">
        <x:v>حمزة بادو</x:v>
      </x:c>
      <x:c r="D7" s="28" t="str">
        <x:v>حمزة بادو</x:v>
      </x:c>
      <x:c r="E7" s="28" t="str"/>
      <x:c r="F7" s="28" t="str">
        <x:v>31179706</x:v>
      </x:c>
      <x:c r="G7" s="28" t="str">
        <x:v>29850400215</x:v>
      </x:c>
      <x:c r="H7" s="38" t="n">
        <x:v>1</x:v>
      </x:c>
      <x:c r="I7" s="28" t="str">
        <x:v>مطابق بعد التطبيع</x:v>
      </x:c>
      <x:c r="J7" s="28" t="str"/>
    </x:row>
    <x:row r="8" ht="32" customHeight="1">
      <x:c r="A8" s="28" t="str">
        <x:v>692801</x:v>
      </x:c>
      <x:c r="B8" s="28" t="str">
        <x:v>زكرياء بن احمد</x:v>
      </x:c>
      <x:c r="C8" s="28" t="str">
        <x:v>زكرياء بن احمد</x:v>
      </x:c>
      <x:c r="D8" s="28" t="str">
        <x:v>زكرياء بن احمد</x:v>
      </x:c>
      <x:c r="E8" s="28" t="str"/>
      <x:c r="F8" s="28" t="str">
        <x:v>50428348</x:v>
      </x:c>
      <x:c r="G8" s="28" t="str">
        <x:v>29050401901</x:v>
      </x:c>
      <x:c r="H8" s="38" t="n">
        <x:v>1</x:v>
      </x:c>
      <x:c r="I8" s="28" t="str">
        <x:v>مطابق بعد التطبيع</x:v>
      </x:c>
      <x:c r="J8" s="28" t="str"/>
    </x:row>
    <x:row r="9" ht="32" customHeight="1">
      <x:c r="A9" s="28" t="str">
        <x:v>706150</x:v>
      </x:c>
      <x:c r="B9" s="28" t="str">
        <x:v>ألياس يعقوبي</x:v>
      </x:c>
      <x:c r="C9" s="28" t="str">
        <x:v>ألياس يعقوبي</x:v>
      </x:c>
      <x:c r="D9" s="28" t="str">
        <x:v>ألياس يعقوبي</x:v>
      </x:c>
      <x:c r="E9" s="28" t="str">
        <x:v>70704543</x:v>
      </x:c>
      <x:c r="F9" s="28" t="str">
        <x:v>70704543</x:v>
      </x:c>
      <x:c r="G9" s="28" t="str">
        <x:v>29350401160</x:v>
      </x:c>
      <x:c r="H9" s="38" t="n">
        <x:v>1</x:v>
      </x:c>
      <x:c r="I9" s="28" t="str">
        <x:v>مطابق بعد التطبيع</x:v>
      </x:c>
      <x:c r="J9" s="28" t="str"/>
    </x:row>
    <x:row r="10" ht="32" customHeight="1">
      <x:c r="A10" s="28" t="str">
        <x:v>722134</x:v>
      </x:c>
      <x:c r="B10" s="28" t="str">
        <x:v>حمدي ثابت خليفة محمد</x:v>
      </x:c>
      <x:c r="C10" s="28" t="str">
        <x:v>حمدي ثابت خليفة محمد</x:v>
      </x:c>
      <x:c r="D10" s="28" t="str">
        <x:v>حمدي ثابت خليفة محمد</x:v>
      </x:c>
      <x:c r="E10" s="28" t="str"/>
      <x:c r="F10" s="28" t="str">
        <x:v>77763707</x:v>
      </x:c>
      <x:c r="G10" s="28" t="str">
        <x:v>27881810216</x:v>
      </x:c>
      <x:c r="H10" s="38" t="n">
        <x:v>1</x:v>
      </x:c>
      <x:c r="I10" s="28" t="str">
        <x:v>مطابق بعد التطبيع</x:v>
      </x:c>
      <x:c r="J10" s="28" t="str"/>
    </x:row>
    <x:row r="11" ht="32" customHeight="1">
      <x:c r="A11" s="28" t="str">
        <x:v>856718</x:v>
      </x:c>
      <x:c r="B11" s="28" t="str">
        <x:v>حسان بو علاق</x:v>
      </x:c>
      <x:c r="C11" s="28" t="str">
        <x:v>حسان بو علاق</x:v>
      </x:c>
      <x:c r="D11" s="28" t="str">
        <x:v>حسان بو علاق</x:v>
      </x:c>
      <x:c r="E11" s="28" t="str">
        <x:v>66553638</x:v>
      </x:c>
      <x:c r="F11" s="28" t="str">
        <x:v>66553638</x:v>
      </x:c>
      <x:c r="G11" s="28" t="str">
        <x:v>30078800270</x:v>
      </x:c>
      <x:c r="H11" s="38" t="n">
        <x:v>1</x:v>
      </x:c>
      <x:c r="I11" s="28" t="str">
        <x:v>مطابق بعد التطبيع</x:v>
      </x:c>
      <x:c r="J11" s="28" t="str"/>
    </x:row>
    <x:row r="12" ht="32" customHeight="1">
      <x:c r="A12" s="28" t="str">
        <x:v>857045</x:v>
      </x:c>
      <x:c r="B12" s="28" t="str">
        <x:v>عمارة خرّوبي</x:v>
      </x:c>
      <x:c r="C12" s="28" t="str">
        <x:v>عمارة خرّوبي</x:v>
      </x:c>
      <x:c r="D12" s="28" t="str">
        <x:v>عمارة خرّوبي</x:v>
      </x:c>
      <x:c r="E12" s="28" t="str">
        <x:v>77785598</x:v>
      </x:c>
      <x:c r="F12" s="28" t="str">
        <x:v>30122896</x:v>
      </x:c>
      <x:c r="G12" s="28" t="str">
        <x:v>29178800153</x:v>
      </x:c>
      <x:c r="H12" s="38" t="n">
        <x:v>1</x:v>
      </x:c>
      <x:c r="I12" s="28" t="str">
        <x:v>مطابق بعد التطبيع</x:v>
      </x:c>
      <x:c r="J12" s="28" t="str"/>
    </x:row>
    <x:row r="13" ht="32" customHeight="1">
      <x:c r="A13" s="28" t="str">
        <x:v>857051</x:v>
      </x:c>
      <x:c r="B13" s="28" t="str">
        <x:v>فخري الدين عثمان</x:v>
      </x:c>
      <x:c r="C13" s="28" t="str">
        <x:v>فخري الدين عثمان</x:v>
      </x:c>
      <x:c r="D13" s="28" t="str">
        <x:v>فخري الدين عثمان</x:v>
      </x:c>
      <x:c r="E13" s="28" t="str">
        <x:v>55422771</x:v>
      </x:c>
      <x:c r="F13" s="28" t="str">
        <x:v>55422771</x:v>
      </x:c>
      <x:c r="G13" s="28" t="str">
        <x:v>29173600956</x:v>
      </x:c>
      <x:c r="H13" s="38" t="n">
        <x:v>1</x:v>
      </x:c>
      <x:c r="I13" s="28" t="str">
        <x:v>مطابق بعد التطبيع</x:v>
      </x:c>
      <x:c r="J13" s="28" t="str"/>
    </x:row>
    <x:row r="14" ht="32" customHeight="1">
      <x:c r="A14" s="28" t="str">
        <x:v>893406</x:v>
      </x:c>
      <x:c r="B14" s="28" t="str">
        <x:v>محمود جاسم الصالح</x:v>
      </x:c>
      <x:c r="C14" s="28" t="str">
        <x:v>محمود جاسم الصالح</x:v>
      </x:c>
      <x:c r="D14" s="28" t="str">
        <x:v>محمود جاسم الصالح</x:v>
      </x:c>
      <x:c r="E14" s="28" t="str"/>
      <x:c r="F14" s="28" t="str">
        <x:v>71061952</x:v>
      </x:c>
      <x:c r="G14" s="28" t="str">
        <x:v>28076000743</x:v>
      </x:c>
      <x:c r="H14" s="38" t="n">
        <x:v>2</x:v>
      </x:c>
      <x:c r="I14" s="28" t="str">
        <x:v>سجلات عملاء متعددة</x:v>
      </x:c>
      <x:c r="J14" s="28" t="str">
        <x:v>لا يتم الدمج آليًا قبل فحص الهوية.</x:v>
      </x:c>
    </x:row>
    <x:row r="15" ht="32" customHeight="1">
      <x:c r="A15" s="28" t="str">
        <x:v>893409</x:v>
      </x:c>
      <x:c r="B15" s="28" t="str">
        <x:v>عقبة يوسف قصعاوي</x:v>
      </x:c>
      <x:c r="C15" s="28" t="str">
        <x:v>عقبة يوسف قصعاوي</x:v>
      </x:c>
      <x:c r="D15" s="28" t="str">
        <x:v>عقبة يوسف قصعاوي</x:v>
      </x:c>
      <x:c r="E15" s="28" t="str">
        <x:v>50409220</x:v>
      </x:c>
      <x:c r="F15" s="28" t="str">
        <x:v>50409220</x:v>
      </x:c>
      <x:c r="G15" s="28" t="str">
        <x:v>29878801945</x:v>
      </x:c>
      <x:c r="H15" s="38" t="n">
        <x:v>1</x:v>
      </x:c>
      <x:c r="I15" s="28" t="str">
        <x:v>مطابق بعد التطبيع</x:v>
      </x:c>
      <x:c r="J15" s="28" t="str"/>
    </x:row>
    <x:row r="16" ht="32" customHeight="1">
      <x:c r="A16" s="28" t="str">
        <x:v>893410</x:v>
      </x:c>
      <x:c r="B16" s="28" t="str">
        <x:v>عمار عبد العزيز الغزي</x:v>
      </x:c>
      <x:c r="C16" s="28" t="str">
        <x:v>عمار عبد العزيز الغزي</x:v>
      </x:c>
      <x:c r="D16" s="28" t="str">
        <x:v>عمار عبد العزيز الغزي</x:v>
      </x:c>
      <x:c r="E16" s="28" t="str">
        <x:v>30403800</x:v>
      </x:c>
      <x:c r="F16" s="28" t="str">
        <x:v>30403800</x:v>
      </x:c>
      <x:c r="G16" s="28" t="str">
        <x:v>27976002717</x:v>
      </x:c>
      <x:c r="H16" s="38" t="n">
        <x:v>1</x:v>
      </x:c>
      <x:c r="I16" s="28" t="str">
        <x:v>مطابق بعد التطبيع</x:v>
      </x:c>
      <x:c r="J16" s="28" t="str"/>
    </x:row>
    <x:row r="17" ht="32" customHeight="1">
      <x:c r="A17" s="28" t="str">
        <x:v>2766</x:v>
      </x:c>
      <x:c r="B17" s="28" t="str">
        <x:v>محمد محمد أحمد محمد</x:v>
      </x:c>
      <x:c r="C17" s="28" t="str">
        <x:v>محمد محمد أحمد محمد</x:v>
      </x:c>
      <x:c r="D17" s="28" t="str">
        <x:v>محمد محمد أحمد محمد</x:v>
      </x:c>
      <x:c r="E17" s="28" t="str">
        <x:v>70007983</x:v>
      </x:c>
      <x:c r="F17" s="28" t="str">
        <x:v>70007983</x:v>
      </x:c>
      <x:c r="G17" s="28" t="str">
        <x:v>29073602906</x:v>
      </x:c>
      <x:c r="H17" s="38" t="n">
        <x:v>1</x:v>
      </x:c>
      <x:c r="I17" s="28" t="str">
        <x:v>مطابق بعد التطبيع</x:v>
      </x:c>
      <x:c r="J17" s="28" t="str"/>
    </x:row>
    <x:row r="18" ht="32" customHeight="1">
      <x:c r="A18" s="28" t="str">
        <x:v>2768</x:v>
      </x:c>
      <x:c r="B18" s="28" t="str">
        <x:v>عبد العزيز محمد</x:v>
      </x:c>
      <x:c r="C18" s="28" t="str">
        <x:v>عبد العزيز محمد</x:v>
      </x:c>
      <x:c r="D18" s="28" t="str">
        <x:v>عبد العزيز محمد</x:v>
      </x:c>
      <x:c r="E18" s="28" t="str">
        <x:v>70342655</x:v>
      </x:c>
      <x:c r="F18" s="28" t="str">
        <x:v>70342655</x:v>
      </x:c>
      <x:c r="G18" s="28" t="str">
        <x:v>27173600979</x:v>
      </x:c>
      <x:c r="H18" s="38" t="n">
        <x:v>1</x:v>
      </x:c>
      <x:c r="I18" s="28" t="str">
        <x:v>مطابق بعد التطبيع</x:v>
      </x:c>
      <x:c r="J18" s="28" t="str"/>
    </x:row>
    <x:row r="19" ht="32" customHeight="1">
      <x:c r="A19" s="28" t="str">
        <x:v>2769</x:v>
      </x:c>
      <x:c r="B19" s="28" t="str">
        <x:v>وضاح عبد الله احمد العبيد</x:v>
      </x:c>
      <x:c r="C19" s="28" t="str">
        <x:v>وضاح عبد الله احمد العبيد</x:v>
      </x:c>
      <x:c r="D19" s="28" t="str">
        <x:v>وضاح عبد الله احمد العبيد</x:v>
      </x:c>
      <x:c r="E19" s="28" t="str">
        <x:v>71953163</x:v>
      </x:c>
      <x:c r="F19" s="28" t="str">
        <x:v>71953163</x:v>
      </x:c>
      <x:c r="G19" s="28" t="str">
        <x:v>28673602872</x:v>
      </x:c>
      <x:c r="H19" s="38" t="n">
        <x:v>1</x:v>
      </x:c>
      <x:c r="I19" s="28" t="str">
        <x:v>مطابق بعد التطبيع</x:v>
      </x:c>
      <x:c r="J19" s="28" t="str"/>
    </x:row>
    <x:row r="20" ht="32" customHeight="1">
      <x:c r="A20" s="28" t="str">
        <x:v>2770</x:v>
      </x:c>
      <x:c r="B20" s="28" t="str">
        <x:v>خبيب رضا السحابي</x:v>
      </x:c>
      <x:c r="C20" s="28" t="str">
        <x:v>خبيب رضا السحابي</x:v>
      </x:c>
      <x:c r="D20" s="28" t="str">
        <x:v>خبيب رضا السحابي</x:v>
      </x:c>
      <x:c r="E20" s="28" t="str">
        <x:v>72202682</x:v>
      </x:c>
      <x:c r="F20" s="28" t="str">
        <x:v>72202682</x:v>
      </x:c>
      <x:c r="G20" s="28" t="str">
        <x:v>29578802624</x:v>
      </x:c>
      <x:c r="H20" s="38" t="n">
        <x:v>1</x:v>
      </x:c>
      <x:c r="I20" s="28" t="str">
        <x:v>مطابق بعد التطبيع</x:v>
      </x:c>
      <x:c r="J20" s="28" t="str"/>
    </x:row>
    <x:row r="21" ht="32" customHeight="1">
      <x:c r="A21" s="28" t="str">
        <x:v>2772</x:v>
      </x:c>
      <x:c r="B21" s="28" t="str">
        <x:v>اسماعيل احمد عبد الله محمد</x:v>
      </x:c>
      <x:c r="C21" s="28" t="str">
        <x:v>اسماعيل احمد عبد الله محمد</x:v>
      </x:c>
      <x:c r="D21" s="28" t="str">
        <x:v>اسماعيل احمد عبد الله محمد</x:v>
      </x:c>
      <x:c r="E21" s="28" t="str">
        <x:v>30400511</x:v>
      </x:c>
      <x:c r="F21" s="28" t="str">
        <x:v>30400511</x:v>
      </x:c>
      <x:c r="G21" s="28" t="str">
        <x:v>29073602014</x:v>
      </x:c>
      <x:c r="H21" s="38" t="n">
        <x:v>1</x:v>
      </x:c>
      <x:c r="I21" s="28" t="str">
        <x:v>مطابق بعد التطبيع</x:v>
      </x:c>
      <x:c r="J21" s="28" t="str"/>
    </x:row>
    <x:row r="22" ht="32" customHeight="1">
      <x:c r="A22" s="28" t="str">
        <x:v>2773</x:v>
      </x:c>
      <x:c r="B22" s="28" t="str">
        <x:v>حسام الدين إبراهيم</x:v>
      </x:c>
      <x:c r="C22" s="28" t="str">
        <x:v>أوول إبراهيم</x:v>
      </x:c>
      <x:c r="D22" s="28" t="str">
        <x:v>أوول إبراهيم</x:v>
      </x:c>
      <x:c r="E22" s="28" t="str"/>
      <x:c r="F22" s="28" t="str">
        <x:v>33102862</x:v>
      </x:c>
      <x:c r="G22" s="28" t="str">
        <x:v>29623000824</x:v>
      </x:c>
      <x:c r="H22" s="38" t="n">
        <x:v>1</x:v>
      </x:c>
      <x:c r="I22" s="28" t="str">
        <x:v>فرق إملائي/مطابقة هاتف</x:v>
      </x:c>
      <x:c r="J22" s="28" t="str"/>
    </x:row>
    <x:row r="23" ht="32" customHeight="1">
      <x:c r="A23" s="28" t="str">
        <x:v>2775</x:v>
      </x:c>
      <x:c r="B23" s="28" t="str">
        <x:v>ياسين  الزلماطي</x:v>
      </x:c>
      <x:c r="C23" s="28" t="str">
        <x:v>ياسين  الزلماطي</x:v>
      </x:c>
      <x:c r="D23" s="28" t="str">
        <x:v>ياسين  الزلماطي</x:v>
      </x:c>
      <x:c r="E23" s="28" t="str">
        <x:v>55315381</x:v>
      </x:c>
      <x:c r="F23" s="28" t="str">
        <x:v>55315381</x:v>
      </x:c>
      <x:c r="G23" s="28" t="str">
        <x:v>29678801036</x:v>
      </x:c>
      <x:c r="H23" s="38" t="n">
        <x:v>1</x:v>
      </x:c>
      <x:c r="I23" s="28" t="str">
        <x:v>مطابق بعد التطبيع</x:v>
      </x:c>
      <x:c r="J23" s="28" t="str"/>
    </x:row>
    <x:row r="24" ht="32" customHeight="1">
      <x:c r="A24" s="28" t="str">
        <x:v>2778</x:v>
      </x:c>
      <x:c r="B24" s="28" t="str">
        <x:v>بلال اليعقوبي</x:v>
      </x:c>
      <x:c r="C24" s="28" t="str">
        <x:v>بلال اليعقوبي</x:v>
      </x:c>
      <x:c r="D24" s="28" t="str">
        <x:v>بلال اليعقوبي</x:v>
      </x:c>
      <x:c r="E24" s="28" t="str">
        <x:v>70400898</x:v>
      </x:c>
      <x:c r="F24" s="28" t="str">
        <x:v>70400898</x:v>
      </x:c>
      <x:c r="G24" s="28" t="str">
        <x:v>29078800332</x:v>
      </x:c>
      <x:c r="H24" s="38" t="n">
        <x:v>1</x:v>
      </x:c>
      <x:c r="I24" s="28" t="str">
        <x:v>مطابق بعد التطبيع</x:v>
      </x:c>
      <x:c r="J24" s="28" t="str"/>
    </x:row>
    <x:row r="25" ht="32" customHeight="1">
      <x:c r="A25" s="28" t="str">
        <x:v>2780</x:v>
      </x:c>
      <x:c r="B25" s="28" t="str">
        <x:v>ياسين محمد سرحاني</x:v>
      </x:c>
      <x:c r="C25" s="28" t="str">
        <x:v>ياسين محمد سرحاني</x:v>
      </x:c>
      <x:c r="D25" s="28" t="str">
        <x:v>ياسين محمد سرحاني</x:v>
      </x:c>
      <x:c r="E25" s="28" t="str">
        <x:v>71002048</x:v>
      </x:c>
      <x:c r="F25" s="28" t="str">
        <x:v>71965362</x:v>
      </x:c>
      <x:c r="G25" s="28" t="str">
        <x:v>29878800584</x:v>
      </x:c>
      <x:c r="H25" s="38" t="n">
        <x:v>1</x:v>
      </x:c>
      <x:c r="I25" s="28" t="str">
        <x:v>مطابق بعد التطبيع</x:v>
      </x:c>
      <x:c r="J25" s="28" t="str"/>
    </x:row>
    <x:row r="26" ht="32" customHeight="1">
      <x:c r="A26" s="28" t="str">
        <x:v>2781</x:v>
      </x:c>
      <x:c r="B26" s="28" t="str">
        <x:v>محمد بكوش</x:v>
      </x:c>
      <x:c r="C26" s="28" t="str">
        <x:v>غير موجود في النظام</x:v>
      </x:c>
      <x:c r="D26" s="28" t="str"/>
      <x:c r="E26" s="28" t="str"/>
      <x:c r="F26" s="28" t="str"/>
      <x:c r="G26" s="28" t="str"/>
      <x:c r="H26" s="38" t="n">
        <x:v>0</x:v>
      </x:c>
      <x:c r="I26" s="28" t="str">
        <x:v>غير موجود</x:v>
      </x:c>
      <x:c r="J26" s="28" t="str"/>
    </x:row>
    <x:row r="27" ht="32" customHeight="1">
      <x:c r="A27" s="28" t="str">
        <x:v>2782</x:v>
      </x:c>
      <x:c r="B27" s="28" t="str">
        <x:v>سعيد الهلالي</x:v>
      </x:c>
      <x:c r="C27" s="28" t="str">
        <x:v>سعيد الهلالي</x:v>
      </x:c>
      <x:c r="D27" s="28" t="str">
        <x:v>سعيد الهلالي</x:v>
      </x:c>
      <x:c r="E27" s="28" t="str"/>
      <x:c r="F27" s="28" t="str">
        <x:v>66653585</x:v>
      </x:c>
      <x:c r="G27" s="28" t="str">
        <x:v>28878802218</x:v>
      </x:c>
      <x:c r="H27" s="38" t="n">
        <x:v>1</x:v>
      </x:c>
      <x:c r="I27" s="28" t="str">
        <x:v>مطابق بعد التطبيع</x:v>
      </x:c>
      <x:c r="J27" s="28" t="str"/>
    </x:row>
    <x:row r="28" ht="32" customHeight="1">
      <x:c r="A28" s="28" t="str">
        <x:v>2784</x:v>
      </x:c>
      <x:c r="B28" s="28" t="str">
        <x:v>عثمان عبيريزة</x:v>
      </x:c>
      <x:c r="C28" s="28" t="str">
        <x:v>عثمان عبيريزة</x:v>
      </x:c>
      <x:c r="D28" s="28" t="str">
        <x:v>عثمان عبيريزة</x:v>
      </x:c>
      <x:c r="E28" s="28" t="str">
        <x:v>30770117</x:v>
      </x:c>
      <x:c r="F28" s="28" t="str">
        <x:v>30770117</x:v>
      </x:c>
      <x:c r="G28" s="28" t="str">
        <x:v>28950401627</x:v>
      </x:c>
      <x:c r="H28" s="38" t="n">
        <x:v>1</x:v>
      </x:c>
      <x:c r="I28" s="28" t="str">
        <x:v>مطابق بعد التطبيع</x:v>
      </x:c>
      <x:c r="J28" s="28" t="str"/>
    </x:row>
    <x:row r="29" ht="32" customHeight="1">
      <x:c r="A29" s="28" t="str">
        <x:v>5889</x:v>
      </x:c>
      <x:c r="B29" s="28" t="str">
        <x:v>ايمن خليفة حمادي</x:v>
      </x:c>
      <x:c r="C29" s="28" t="str">
        <x:v>ايمن خليفة حمادي</x:v>
      </x:c>
      <x:c r="D29" s="28" t="str">
        <x:v>أيمن خليفة حمادي</x:v>
      </x:c>
      <x:c r="E29" s="28" t="str">
        <x:v>30305808</x:v>
      </x:c>
      <x:c r="F29" s="28" t="str">
        <x:v>30566445</x:v>
      </x:c>
      <x:c r="G29" s="28" t="str">
        <x:v>29478802235</x:v>
      </x:c>
      <x:c r="H29" s="38" t="n">
        <x:v>1</x:v>
      </x:c>
      <x:c r="I29" s="28" t="str">
        <x:v>مطابق بعد التطبيع</x:v>
      </x:c>
      <x:c r="J29" s="28" t="str"/>
    </x:row>
    <x:row r="30" ht="32" customHeight="1">
      <x:c r="A30" s="28" t="str">
        <x:v>5890</x:v>
      </x:c>
      <x:c r="B30" s="28" t="str">
        <x:v>عبد العزيز بن نبيل جرفال</x:v>
      </x:c>
      <x:c r="C30" s="28" t="str">
        <x:v>عبد العزيز بن نبيل جرفال</x:v>
      </x:c>
      <x:c r="D30" s="28" t="str">
        <x:v>عبد العزيز بن نبيل جرفال</x:v>
      </x:c>
      <x:c r="E30" s="28" t="str">
        <x:v>33767961</x:v>
      </x:c>
      <x:c r="F30" s="28" t="str">
        <x:v>33767961</x:v>
      </x:c>
      <x:c r="G30" s="28" t="str">
        <x:v>29278800776</x:v>
      </x:c>
      <x:c r="H30" s="38" t="n">
        <x:v>1</x:v>
      </x:c>
      <x:c r="I30" s="28" t="str">
        <x:v>مطابق بعد التطبيع</x:v>
      </x:c>
      <x:c r="J30" s="28" t="str"/>
    </x:row>
    <x:row r="31" ht="32" customHeight="1">
      <x:c r="A31" s="28" t="str">
        <x:v>5898</x:v>
      </x:c>
      <x:c r="B31" s="28" t="str">
        <x:v>محمد سرالختم</x:v>
      </x:c>
      <x:c r="C31" s="28" t="str">
        <x:v>محمد سرالختم</x:v>
      </x:c>
      <x:c r="D31" s="28" t="str">
        <x:v>محمد سرالختم</x:v>
      </x:c>
      <x:c r="E31" s="28" t="str">
        <x:v>70371179</x:v>
      </x:c>
      <x:c r="F31" s="28" t="str">
        <x:v>70371179</x:v>
      </x:c>
      <x:c r="G31" s="28" t="str">
        <x:v>28073601259</x:v>
      </x:c>
      <x:c r="H31" s="38" t="n">
        <x:v>1</x:v>
      </x:c>
      <x:c r="I31" s="28" t="str">
        <x:v>مطابق بعد التطبيع</x:v>
      </x:c>
      <x:c r="J31" s="28" t="str"/>
    </x:row>
    <x:row r="32" ht="32" customHeight="1">
      <x:c r="A32" s="28" t="str">
        <x:v>5899</x:v>
      </x:c>
      <x:c r="B32" s="28" t="str">
        <x:v>احمد السيد بابكر</x:v>
      </x:c>
      <x:c r="C32" s="28" t="str">
        <x:v>احمد السيد بابكر</x:v>
      </x:c>
      <x:c r="D32" s="28" t="str">
        <x:v>احمد السيد بابكر</x:v>
      </x:c>
      <x:c r="E32" s="28" t="str">
        <x:v>33081277</x:v>
      </x:c>
      <x:c r="F32" s="28" t="str">
        <x:v>33081277</x:v>
      </x:c>
      <x:c r="G32" s="28" t="str">
        <x:v>27973601538</x:v>
      </x:c>
      <x:c r="H32" s="38" t="n">
        <x:v>1</x:v>
      </x:c>
      <x:c r="I32" s="28" t="str">
        <x:v>مطابق بعد التطبيع</x:v>
      </x:c>
      <x:c r="J32" s="28" t="str"/>
    </x:row>
    <x:row r="33" ht="32" customHeight="1">
      <x:c r="A33" s="28" t="str">
        <x:v>5900</x:v>
      </x:c>
      <x:c r="B33" s="28" t="str">
        <x:v>محمد عزيز محسن جلالي</x:v>
      </x:c>
      <x:c r="C33" s="28" t="str">
        <x:v>محمد عزيز محسن جلالي</x:v>
      </x:c>
      <x:c r="D33" s="28" t="str">
        <x:v>محمد عزيز محسن جلالي</x:v>
      </x:c>
      <x:c r="E33" s="28" t="str">
        <x:v>50328969</x:v>
      </x:c>
      <x:c r="F33" s="28" t="str">
        <x:v>50328969</x:v>
      </x:c>
      <x:c r="G33" s="28" t="str">
        <x:v>30278800821</x:v>
      </x:c>
      <x:c r="H33" s="38" t="n">
        <x:v>1</x:v>
      </x:c>
      <x:c r="I33" s="28" t="str">
        <x:v>مطابق بعد التطبيع</x:v>
      </x:c>
      <x:c r="J33" s="28" t="str"/>
    </x:row>
    <x:row r="34" ht="32" customHeight="1">
      <x:c r="A34" s="28" t="str">
        <x:v>5901</x:v>
      </x:c>
      <x:c r="B34" s="28" t="str">
        <x:v>حسن بن ساسی ظاهری</x:v>
      </x:c>
      <x:c r="C34" s="28" t="str">
        <x:v>حسن بن ساسی ظاهری</x:v>
      </x:c>
      <x:c r="D34" s="28" t="str">
        <x:v>حسن بن ساسی ظاهری</x:v>
      </x:c>
      <x:c r="E34" s="28" t="str">
        <x:v>31115657</x:v>
      </x:c>
      <x:c r="F34" s="28" t="str">
        <x:v>31115657</x:v>
      </x:c>
      <x:c r="G34" s="28" t="str">
        <x:v>29778800219</x:v>
      </x:c>
      <x:c r="H34" s="38" t="n">
        <x:v>1</x:v>
      </x:c>
      <x:c r="I34" s="28" t="str">
        <x:v>مطابق بعد التطبيع</x:v>
      </x:c>
      <x:c r="J34" s="28" t="str"/>
    </x:row>
    <x:row r="35" ht="32" customHeight="1">
      <x:c r="A35" s="28" t="str">
        <x:v>7036</x:v>
      </x:c>
      <x:c r="B35" s="28" t="str">
        <x:v>عصام ابراهيم عبد الله</x:v>
      </x:c>
      <x:c r="C35" s="28" t="str">
        <x:v>عصام ابراهيم عبد الله</x:v>
      </x:c>
      <x:c r="D35" s="28" t="str">
        <x:v>عصام ابراهيم عبد الله</x:v>
      </x:c>
      <x:c r="E35" s="28" t="str">
        <x:v>30777645</x:v>
      </x:c>
      <x:c r="F35" s="28" t="str">
        <x:v>30777645</x:v>
      </x:c>
      <x:c r="G35" s="28" t="str">
        <x:v>28778801222</x:v>
      </x:c>
      <x:c r="H35" s="38" t="n">
        <x:v>1</x:v>
      </x:c>
      <x:c r="I35" s="28" t="str">
        <x:v>مطابق بعد التطبيع</x:v>
      </x:c>
      <x:c r="J35" s="28" t="str"/>
    </x:row>
    <x:row r="36" ht="32" customHeight="1">
      <x:c r="A36" s="28" t="str">
        <x:v>7038</x:v>
      </x:c>
      <x:c r="B36" s="28" t="str">
        <x:v>مهدي محمد القاطري</x:v>
      </x:c>
      <x:c r="C36" s="28" t="str">
        <x:v>مهدي محمد القاطري</x:v>
      </x:c>
      <x:c r="D36" s="28" t="str">
        <x:v>مهدي محمد القاطري</x:v>
      </x:c>
      <x:c r="E36" s="28" t="str">
        <x:v>51332508</x:v>
      </x:c>
      <x:c r="F36" s="28" t="str">
        <x:v>51332508</x:v>
      </x:c>
      <x:c r="G36" s="28" t="str">
        <x:v>29478802992</x:v>
      </x:c>
      <x:c r="H36" s="38" t="n">
        <x:v>1</x:v>
      </x:c>
      <x:c r="I36" s="28" t="str">
        <x:v>مطابق بعد التطبيع</x:v>
      </x:c>
      <x:c r="J36" s="28" t="str"/>
    </x:row>
    <x:row r="37" ht="32" customHeight="1">
      <x:c r="A37" s="28" t="str">
        <x:v>7039</x:v>
      </x:c>
      <x:c r="B37" s="28" t="str">
        <x:v>محسن الفرحاني</x:v>
      </x:c>
      <x:c r="C37" s="28" t="str">
        <x:v>غير موجود في النظام</x:v>
      </x:c>
      <x:c r="D37" s="28" t="str"/>
      <x:c r="E37" s="28" t="str">
        <x:v>60045111</x:v>
      </x:c>
      <x:c r="F37" s="28" t="str"/>
      <x:c r="G37" s="28" t="str"/>
      <x:c r="H37" s="38" t="n">
        <x:v>0</x:v>
      </x:c>
      <x:c r="I37" s="28" t="str">
        <x:v>غير موجود</x:v>
      </x:c>
      <x:c r="J37" s="28" t="str"/>
    </x:row>
    <x:row r="38" ht="32" customHeight="1">
      <x:c r="A38" s="28" t="str">
        <x:v>7041</x:v>
      </x:c>
      <x:c r="B38" s="28" t="str">
        <x:v>رمزي الهاشمي بعزاوي</x:v>
      </x:c>
      <x:c r="C38" s="28" t="str">
        <x:v>رمزي الهاشمي بعزاوي</x:v>
      </x:c>
      <x:c r="D38" s="28" t="str">
        <x:v>رمزي الهاشمي بعزاوي</x:v>
      </x:c>
      <x:c r="E38" s="28" t="str">
        <x:v>39913719</x:v>
      </x:c>
      <x:c r="F38" s="28" t="str">
        <x:v>39913719</x:v>
      </x:c>
      <x:c r="G38" s="28" t="str">
        <x:v>29678802517</x:v>
      </x:c>
      <x:c r="H38" s="38" t="n">
        <x:v>1</x:v>
      </x:c>
      <x:c r="I38" s="28" t="str">
        <x:v>مطابق بعد التطبيع</x:v>
      </x:c>
      <x:c r="J38" s="28" t="str"/>
    </x:row>
    <x:row r="39" ht="32" customHeight="1">
      <x:c r="A39" s="28" t="str">
        <x:v>7043</x:v>
      </x:c>
      <x:c r="B39" s="28" t="str">
        <x:v>حمد البشير يانس</x:v>
      </x:c>
      <x:c r="C39" s="28" t="str">
        <x:v>حمد البشير يانس</x:v>
      </x:c>
      <x:c r="D39" s="28" t="str">
        <x:v>حمد البشير يانس</x:v>
      </x:c>
      <x:c r="E39" s="28" t="str">
        <x:v>55260218</x:v>
      </x:c>
      <x:c r="F39" s="28" t="str">
        <x:v>55260218</x:v>
      </x:c>
      <x:c r="G39" s="28" t="str">
        <x:v>28878801028</x:v>
      </x:c>
      <x:c r="H39" s="38" t="n">
        <x:v>1</x:v>
      </x:c>
      <x:c r="I39" s="28" t="str">
        <x:v>مطابق بعد التطبيع</x:v>
      </x:c>
      <x:c r="J39" s="28" t="str"/>
    </x:row>
    <x:row r="40" ht="32" customHeight="1">
      <x:c r="A40" s="28" t="str">
        <x:v>7053</x:v>
      </x:c>
      <x:c r="B40" s="28" t="str">
        <x:v>مهدي أسامة المهدي حامد</x:v>
      </x:c>
      <x:c r="C40" s="28" t="str">
        <x:v>مهدي أسامة المهدي حامد</x:v>
      </x:c>
      <x:c r="D40" s="28" t="str">
        <x:v>مهدي أسامة المهدي حامد</x:v>
      </x:c>
      <x:c r="E40" s="28" t="str">
        <x:v>30138501</x:v>
      </x:c>
      <x:c r="F40" s="28" t="str">
        <x:v>30138501</x:v>
      </x:c>
      <x:c r="G40" s="28" t="str">
        <x:v>29873600511</x:v>
      </x:c>
      <x:c r="H40" s="38" t="n">
        <x:v>1</x:v>
      </x:c>
      <x:c r="I40" s="28" t="str">
        <x:v>مطابق بعد التطبيع</x:v>
      </x:c>
      <x:c r="J40" s="28" t="str"/>
    </x:row>
    <x:row r="41" ht="32" customHeight="1">
      <x:c r="A41" s="28" t="str">
        <x:v>7054</x:v>
      </x:c>
      <x:c r="B41" s="28" t="str">
        <x:v>عمر عبد المولى مبروكي</x:v>
      </x:c>
      <x:c r="C41" s="28" t="str">
        <x:v>عمر عبد المولى مبروكي</x:v>
      </x:c>
      <x:c r="D41" s="28" t="str">
        <x:v>عمر عبد المولى مبروكي</x:v>
      </x:c>
      <x:c r="E41" s="28" t="str">
        <x:v>31598966</x:v>
      </x:c>
      <x:c r="F41" s="28" t="str">
        <x:v>31598966</x:v>
      </x:c>
      <x:c r="G41" s="28" t="str">
        <x:v>27978800113</x:v>
      </x:c>
      <x:c r="H41" s="38" t="n">
        <x:v>1</x:v>
      </x:c>
      <x:c r="I41" s="28" t="str">
        <x:v>مطابق بعد التطبيع</x:v>
      </x:c>
      <x:c r="J41" s="28" t="str"/>
    </x:row>
    <x:row r="42" ht="32" customHeight="1">
      <x:c r="A42" s="28" t="str">
        <x:v>7056</x:v>
      </x:c>
      <x:c r="B42" s="28" t="str">
        <x:v>مجدي محمد عباس</x:v>
      </x:c>
      <x:c r="C42" s="28" t="str">
        <x:v>مجدي محمد عباس</x:v>
      </x:c>
      <x:c r="D42" s="28" t="str">
        <x:v>مجدي محمد عباس</x:v>
      </x:c>
      <x:c r="E42" s="28" t="str">
        <x:v>33557425</x:v>
      </x:c>
      <x:c r="F42" s="28" t="str">
        <x:v>33557425</x:v>
      </x:c>
      <x:c r="G42" s="28" t="str">
        <x:v>26073600810</x:v>
      </x:c>
      <x:c r="H42" s="38" t="n">
        <x:v>1</x:v>
      </x:c>
      <x:c r="I42" s="28" t="str">
        <x:v>مطابق بعد التطبيع</x:v>
      </x:c>
      <x:c r="J42" s="28" t="str"/>
    </x:row>
    <x:row r="43" ht="32" customHeight="1">
      <x:c r="A43" s="28" t="str">
        <x:v>7058</x:v>
      </x:c>
      <x:c r="B43" s="28" t="str">
        <x:v>محمد فوأد شوشان</x:v>
      </x:c>
      <x:c r="C43" s="28" t="str">
        <x:v>محمد فوأد شوشان</x:v>
      </x:c>
      <x:c r="D43" s="28" t="str">
        <x:v>محمد فوأد شوشان</x:v>
      </x:c>
      <x:c r="E43" s="28" t="str">
        <x:v>55146823</x:v>
      </x:c>
      <x:c r="F43" s="28" t="str">
        <x:v>55146823</x:v>
      </x:c>
      <x:c r="G43" s="28" t="str">
        <x:v>28678802468</x:v>
      </x:c>
      <x:c r="H43" s="38" t="n">
        <x:v>1</x:v>
      </x:c>
      <x:c r="I43" s="28" t="str">
        <x:v>مطابق بعد التطبيع</x:v>
      </x:c>
      <x:c r="J43" s="28" t="str"/>
    </x:row>
    <x:row r="44" ht="32" customHeight="1">
      <x:c r="A44" s="28" t="str">
        <x:v>7059</x:v>
      </x:c>
      <x:c r="B44" s="28" t="str">
        <x:v>عمر محمد الجمعي مرائحي</x:v>
      </x:c>
      <x:c r="C44" s="28" t="str">
        <x:v>عمر محمد الجمعي مرائحي</x:v>
      </x:c>
      <x:c r="D44" s="28" t="str">
        <x:v>عمر محمد الجمعي مرائحي</x:v>
      </x:c>
      <x:c r="E44" s="28" t="str">
        <x:v>51203590</x:v>
      </x:c>
      <x:c r="F44" s="28" t="str">
        <x:v>31299557</x:v>
      </x:c>
      <x:c r="G44" s="28" t="str">
        <x:v>28678802455</x:v>
      </x:c>
      <x:c r="H44" s="38" t="n">
        <x:v>1</x:v>
      </x:c>
      <x:c r="I44" s="28" t="str">
        <x:v>مطابق بعد التطبيع</x:v>
      </x:c>
      <x:c r="J44" s="28" t="str"/>
    </x:row>
    <x:row r="45" ht="32" customHeight="1">
      <x:c r="A45" s="28" t="str">
        <x:v>7060</x:v>
      </x:c>
      <x:c r="B45" s="28" t="str">
        <x:v>بنور رقية</x:v>
      </x:c>
      <x:c r="C45" s="28" t="str">
        <x:v>بنور رقية</x:v>
      </x:c>
      <x:c r="D45" s="28" t="str">
        <x:v>بنور رقية</x:v>
      </x:c>
      <x:c r="E45" s="28" t="str"/>
      <x:c r="F45" s="28" t="str">
        <x:v>30743344</x:v>
      </x:c>
      <x:c r="G45" s="28" t="str">
        <x:v>29678800942</x:v>
      </x:c>
      <x:c r="H45" s="38" t="n">
        <x:v>1</x:v>
      </x:c>
      <x:c r="I45" s="28" t="str">
        <x:v>مطابق بعد التطبيع</x:v>
      </x:c>
      <x:c r="J45" s="28" t="str"/>
    </x:row>
    <x:row r="46" ht="32" customHeight="1">
      <x:c r="A46" s="28" t="str">
        <x:v>7063</x:v>
      </x:c>
      <x:c r="B46" s="28" t="str">
        <x:v>مهند حمودة الظاهر</x:v>
      </x:c>
      <x:c r="C46" s="28" t="str">
        <x:v>مهند حمودة الظاهر</x:v>
      </x:c>
      <x:c r="D46" s="28" t="str">
        <x:v>مهند حمودة الظاهر</x:v>
      </x:c>
      <x:c r="E46" s="28" t="str">
        <x:v>30623322</x:v>
      </x:c>
      <x:c r="F46" s="28" t="str">
        <x:v>30623322</x:v>
      </x:c>
      <x:c r="G46" s="28" t="str">
        <x:v>29076000589</x:v>
      </x:c>
      <x:c r="H46" s="38" t="n">
        <x:v>1</x:v>
      </x:c>
      <x:c r="I46" s="28" t="str">
        <x:v>مطابق بعد التطبيع</x:v>
      </x:c>
      <x:c r="J46" s="28" t="str"/>
    </x:row>
    <x:row r="47" ht="32" customHeight="1">
      <x:c r="A47" s="28" t="str">
        <x:v>7066</x:v>
      </x:c>
      <x:c r="B47" s="28" t="str">
        <x:v>ايهاب ميرغني عوض الكريم عبد الله</x:v>
      </x:c>
      <x:c r="C47" s="28" t="str">
        <x:v>ايهاب ميرغني عوض الكريم عبد الله</x:v>
      </x:c>
      <x:c r="D47" s="28" t="str">
        <x:v>ايهاب ميرغني عوض الكريم عبد الله</x:v>
      </x:c>
      <x:c r="E47" s="28" t="str">
        <x:v>70952447</x:v>
      </x:c>
      <x:c r="F47" s="28" t="str">
        <x:v>31009664</x:v>
      </x:c>
      <x:c r="G47" s="28" t="str">
        <x:v>28573602823</x:v>
      </x:c>
      <x:c r="H47" s="38" t="n">
        <x:v>1</x:v>
      </x:c>
      <x:c r="I47" s="28" t="str">
        <x:v>مطابق بعد التطبيع</x:v>
      </x:c>
      <x:c r="J47" s="28" t="str"/>
    </x:row>
    <x:row r="48" ht="32" customHeight="1">
      <x:c r="A48" s="28" t="str">
        <x:v>7068</x:v>
      </x:c>
      <x:c r="B48" s="28" t="str">
        <x:v>ياسر ربيع محمد سليمان</x:v>
      </x:c>
      <x:c r="C48" s="28" t="str">
        <x:v>ياسر ربيع محمد سليمان</x:v>
      </x:c>
      <x:c r="D48" s="28" t="str">
        <x:v>ياسر ربيع محمد سليمان</x:v>
      </x:c>
      <x:c r="E48" s="28" t="str">
        <x:v>77354490</x:v>
      </x:c>
      <x:c r="F48" s="28" t="str">
        <x:v>77354490</x:v>
      </x:c>
      <x:c r="G48" s="28" t="str">
        <x:v>27981803976</x:v>
      </x:c>
      <x:c r="H48" s="38" t="n">
        <x:v>1</x:v>
      </x:c>
      <x:c r="I48" s="28" t="str">
        <x:v>مطابق بعد التطبيع</x:v>
      </x:c>
      <x:c r="J48" s="28" t="str"/>
    </x:row>
    <x:row r="49" ht="32" customHeight="1">
      <x:c r="A49" s="28" t="str">
        <x:v>7069</x:v>
      </x:c>
      <x:c r="B49" s="28" t="str">
        <x:v>عصام المزوغي</x:v>
      </x:c>
      <x:c r="C49" s="28" t="str">
        <x:v>عصام المزوغي</x:v>
      </x:c>
      <x:c r="D49" s="28" t="str">
        <x:v>عصام المزوغي</x:v>
      </x:c>
      <x:c r="E49" s="28" t="str">
        <x:v>74700503</x:v>
      </x:c>
      <x:c r="F49" s="28" t="str">
        <x:v>74700503</x:v>
      </x:c>
      <x:c r="G49" s="28" t="str">
        <x:v>28078801264</x:v>
      </x:c>
      <x:c r="H49" s="38" t="n">
        <x:v>1</x:v>
      </x:c>
      <x:c r="I49" s="28" t="str">
        <x:v>مطابق بعد التطبيع</x:v>
      </x:c>
      <x:c r="J49" s="28" t="str"/>
    </x:row>
    <x:row r="50" ht="32" customHeight="1">
      <x:c r="A50" s="28" t="str">
        <x:v>7071</x:v>
      </x:c>
      <x:c r="B50" s="28" t="str">
        <x:v>حمزة زمكيل</x:v>
      </x:c>
      <x:c r="C50" s="28" t="str">
        <x:v>حمزة زمكيل</x:v>
      </x:c>
      <x:c r="D50" s="28" t="str">
        <x:v>حمزة زمكيل</x:v>
      </x:c>
      <x:c r="E50" s="28" t="str"/>
      <x:c r="F50" s="28" t="str">
        <x:v>55312830</x:v>
      </x:c>
      <x:c r="G50" s="28" t="str"/>
      <x:c r="H50" s="38" t="n">
        <x:v>1</x:v>
      </x:c>
      <x:c r="I50" s="28" t="str">
        <x:v>مطابق بعد التطبيع</x:v>
      </x:c>
      <x:c r="J50" s="28" t="str"/>
    </x:row>
    <x:row r="51" ht="32" customHeight="1">
      <x:c r="A51" s="28" t="str">
        <x:v>7072</x:v>
      </x:c>
      <x:c r="B51" s="28" t="str">
        <x:v>يوسف العبيدي لخليل</x:v>
      </x:c>
      <x:c r="C51" s="28" t="str">
        <x:v>يوسف العبيدي لخليل</x:v>
      </x:c>
      <x:c r="D51" s="28" t="str">
        <x:v>يوسف العبيدي لخليل</x:v>
      </x:c>
      <x:c r="E51" s="28" t="str">
        <x:v>72119703</x:v>
      </x:c>
      <x:c r="F51" s="28" t="str">
        <x:v>72119703</x:v>
      </x:c>
      <x:c r="G51" s="28" t="str">
        <x:v>29678801302</x:v>
      </x:c>
      <x:c r="H51" s="38" t="n">
        <x:v>1</x:v>
      </x:c>
      <x:c r="I51" s="28" t="str">
        <x:v>مطابق بعد التطبيع</x:v>
      </x:c>
      <x:c r="J51" s="28" t="str"/>
    </x:row>
    <x:row r="52" ht="32" customHeight="1">
      <x:c r="A52" s="28" t="str">
        <x:v>7074</x:v>
      </x:c>
      <x:c r="B52" s="28" t="str">
        <x:v>محمود جاسم الصالح</x:v>
      </x:c>
      <x:c r="C52" s="28" t="str">
        <x:v>محمود جاسم الصالح</x:v>
      </x:c>
      <x:c r="D52" s="28" t="str">
        <x:v>محمود جاسم الصالح</x:v>
      </x:c>
      <x:c r="E52" s="28" t="str">
        <x:v>30531131</x:v>
      </x:c>
      <x:c r="F52" s="28" t="str">
        <x:v>71061952</x:v>
      </x:c>
      <x:c r="G52" s="28" t="str">
        <x:v>28076000743</x:v>
      </x:c>
      <x:c r="H52" s="38" t="n">
        <x:v>2</x:v>
      </x:c>
      <x:c r="I52" s="28" t="str">
        <x:v>سجلات عملاء متعددة</x:v>
      </x:c>
      <x:c r="J52" s="28" t="str">
        <x:v>لا يتم الدمج آليًا قبل فحص الهوية.</x:v>
      </x:c>
    </x:row>
    <x:row r="53" ht="32" customHeight="1">
      <x:c r="A53" s="28" t="str">
        <x:v>7075</x:v>
      </x:c>
      <x:c r="B53" s="28" t="str">
        <x:v>مطلوبالهيثم</x:v>
      </x:c>
      <x:c r="C53" s="28" t="str">
        <x:v>غير موجود في النظام</x:v>
      </x:c>
      <x:c r="D53" s="28" t="str">
        <x:v>محمد الهيثم الطاهر الهادي محمد</x:v>
      </x:c>
      <x:c r="E53" s="28" t="str">
        <x:v>50446192</x:v>
      </x:c>
      <x:c r="F53" s="28" t="str">
        <x:v>50446192</x:v>
      </x:c>
      <x:c r="G53" s="28" t="str">
        <x:v>27673601350</x:v>
      </x:c>
      <x:c r="H53" s="38" t="n">
        <x:v>1</x:v>
      </x:c>
      <x:c r="I53" s="28" t="str">
        <x:v>فرق إملائي/مطابقة هاتف</x:v>
      </x:c>
      <x:c r="J53" s="28" t="str"/>
    </x:row>
    <x:row r="54" ht="32" customHeight="1">
      <x:c r="A54" s="28" t="str">
        <x:v>7077</x:v>
      </x:c>
      <x:c r="B54" s="28" t="str">
        <x:v>ادم صالح جبريل</x:v>
      </x:c>
      <x:c r="C54" s="28" t="str">
        <x:v>ادم صالح جبريل</x:v>
      </x:c>
      <x:c r="D54" s="28" t="str">
        <x:v>ادم صالح جبريل</x:v>
      </x:c>
      <x:c r="E54" s="28" t="str">
        <x:v>50066411</x:v>
      </x:c>
      <x:c r="F54" s="28" t="str">
        <x:v>50066411</x:v>
      </x:c>
      <x:c r="G54" s="28" t="str">
        <x:v>28873601685</x:v>
      </x:c>
      <x:c r="H54" s="38" t="n">
        <x:v>1</x:v>
      </x:c>
      <x:c r="I54" s="28" t="str">
        <x:v>مطابق بعد التطبيع</x:v>
      </x:c>
      <x:c r="J54" s="28" t="str"/>
    </x:row>
    <x:row r="55" ht="32" customHeight="1">
      <x:c r="A55" s="28" t="str">
        <x:v>7078</x:v>
      </x:c>
      <x:c r="B55" s="28" t="str">
        <x:v>محمد شريف عمرو عياش</x:v>
      </x:c>
      <x:c r="C55" s="28" t="str">
        <x:v>محمد شريف عمرو عياش</x:v>
      </x:c>
      <x:c r="D55" s="28" t="str">
        <x:v>محمد شريف عمرو عياش</x:v>
      </x:c>
      <x:c r="E55" s="28" t="str">
        <x:v>66036491</x:v>
      </x:c>
      <x:c r="F55" s="28" t="str">
        <x:v>66036491</x:v>
      </x:c>
      <x:c r="G55" s="28" t="str">
        <x:v>28801200831</x:v>
      </x:c>
      <x:c r="H55" s="38" t="n">
        <x:v>1</x:v>
      </x:c>
      <x:c r="I55" s="28" t="str">
        <x:v>مطابق بعد التطبيع</x:v>
      </x:c>
      <x:c r="J55" s="28" t="str"/>
    </x:row>
    <x:row r="56" ht="32" customHeight="1">
      <x:c r="A56" s="28" t="str">
        <x:v>185513</x:v>
      </x:c>
      <x:c r="B56" s="28" t="str">
        <x:v>الصادق صالح إبراهيم دياب</x:v>
      </x:c>
      <x:c r="C56" s="28" t="str">
        <x:v>الصادق صالح إبراهيم دياب</x:v>
      </x:c>
      <x:c r="D56" s="28" t="str">
        <x:v>الصادق صالح إبراهيم دياب</x:v>
      </x:c>
      <x:c r="E56" s="28" t="str">
        <x:v>70075544</x:v>
      </x:c>
      <x:c r="F56" s="28" t="str">
        <x:v>70075544</x:v>
      </x:c>
      <x:c r="G56" s="28" t="str">
        <x:v>29173602216</x:v>
      </x:c>
      <x:c r="H56" s="38" t="n">
        <x:v>1</x:v>
      </x:c>
      <x:c r="I56" s="28" t="str">
        <x:v>مطابق بعد التطبيع</x:v>
      </x:c>
      <x:c r="J56" s="28" t="str"/>
    </x:row>
    <x:row r="57" ht="32" customHeight="1">
      <x:c r="A57" s="28" t="str">
        <x:v>185485</x:v>
      </x:c>
      <x:c r="B57" s="28" t="str">
        <x:v>احمد تاج</x:v>
      </x:c>
      <x:c r="C57" s="28" t="str">
        <x:v>احمد تاج</x:v>
      </x:c>
      <x:c r="D57" s="28" t="str">
        <x:v>احمد تاج</x:v>
      </x:c>
      <x:c r="E57" s="28" t="str"/>
      <x:c r="F57" s="28" t="str">
        <x:v>31001958</x:v>
      </x:c>
      <x:c r="G57" s="28" t="str"/>
      <x:c r="H57" s="38" t="n">
        <x:v>1</x:v>
      </x:c>
      <x:c r="I57" s="28" t="str">
        <x:v>مطابق بعد التطبيع</x:v>
      </x:c>
      <x:c r="J57" s="28" t="str"/>
    </x:row>
    <x:row r="58" ht="32" customHeight="1">
      <x:c r="A58" s="28" t="str">
        <x:v>185573</x:v>
      </x:c>
      <x:c r="B58" s="28" t="str">
        <x:v>ايهاب ميرغني عوض الكريم عبد الله</x:v>
      </x:c>
      <x:c r="C58" s="28" t="str">
        <x:v>ايهاب ميرغني عوض الكريم عبد الله</x:v>
      </x:c>
      <x:c r="D58" s="28" t="str">
        <x:v>ايهاب ميرغني عوض الكريم عبد الله</x:v>
      </x:c>
      <x:c r="E58" s="28" t="str">
        <x:v>3100 966</x:v>
      </x:c>
      <x:c r="F58" s="28" t="str">
        <x:v>31009664</x:v>
      </x:c>
      <x:c r="G58" s="28" t="str">
        <x:v>28573602823</x:v>
      </x:c>
      <x:c r="H58" s="38" t="n">
        <x:v>1</x:v>
      </x:c>
      <x:c r="I58" s="28" t="str">
        <x:v>مطابق بعد التطبيع</x:v>
      </x:c>
      <x:c r="J58" s="28" t="str"/>
    </x:row>
    <x:row r="59" ht="32" customHeight="1">
      <x:c r="A59" s="28" t="str">
        <x:v>603353</x:v>
      </x:c>
      <x:c r="B59" s="28" t="str">
        <x:v>مصطفى بالقايد</x:v>
      </x:c>
      <x:c r="C59" s="28" t="str">
        <x:v>مصطفى بالقايد</x:v>
      </x:c>
      <x:c r="D59" s="28" t="str">
        <x:v>مصطفى بالقايد</x:v>
      </x:c>
      <x:c r="E59" s="28" t="str">
        <x:v>31245752</x:v>
      </x:c>
      <x:c r="F59" s="28" t="str">
        <x:v>31245752</x:v>
      </x:c>
      <x:c r="G59" s="28" t="str">
        <x:v>30050400084</x:v>
      </x:c>
      <x:c r="H59" s="38" t="n">
        <x:v>1</x:v>
      </x:c>
      <x:c r="I59" s="28" t="str">
        <x:v>مطابق بعد التطبيع</x:v>
      </x:c>
      <x:c r="J59" s="28" t="str"/>
    </x:row>
    <x:row r="60" ht="32" customHeight="1">
      <x:c r="A60" s="28" t="str">
        <x:v>599720</x:v>
      </x:c>
      <x:c r="B60" s="28" t="str">
        <x:v>انور بن علي الذهبي</x:v>
      </x:c>
      <x:c r="C60" s="28" t="str">
        <x:v>انور بن علي الذهبي</x:v>
      </x:c>
      <x:c r="D60" s="28" t="str">
        <x:v>انور بن علي الذهبي</x:v>
      </x:c>
      <x:c r="E60" s="28" t="str">
        <x:v>50234083</x:v>
      </x:c>
      <x:c r="F60" s="28" t="str">
        <x:v>50234083</x:v>
      </x:c>
      <x:c r="G60" s="28" t="str">
        <x:v>28978801437</x:v>
      </x:c>
      <x:c r="H60" s="38" t="n">
        <x:v>1</x:v>
      </x:c>
      <x:c r="I60" s="28" t="str">
        <x:v>مطابق بعد التطبيع</x:v>
      </x:c>
      <x:c r="J60" s="28" t="str"/>
    </x:row>
    <x:row r="61" ht="32" customHeight="1">
      <x:c r="A61" s="28" t="str">
        <x:v>153974</x:v>
      </x:c>
      <x:c r="B61" s="28" t="str">
        <x:v>أزهري حكيم خالد حكيم</x:v>
      </x:c>
      <x:c r="C61" s="28" t="str">
        <x:v>أزهري حكيم خالد حكيم</x:v>
      </x:c>
      <x:c r="D61" s="28" t="str">
        <x:v>ازهري حاکم خالد حاكم</x:v>
      </x:c>
      <x:c r="E61" s="28" t="str">
        <x:v>55578515</x:v>
      </x:c>
      <x:c r="F61" s="28" t="str">
        <x:v>55578515</x:v>
      </x:c>
      <x:c r="G61" s="28" t="str">
        <x:v>25873600219</x:v>
      </x:c>
      <x:c r="H61" s="38" t="n">
        <x:v>1</x:v>
      </x:c>
      <x:c r="I61" s="28" t="str">
        <x:v>فرق إملائي/مطابقة هاتف</x:v>
      </x:c>
      <x:c r="J61" s="28" t="str"/>
    </x:row>
    <x:row r="62" ht="32" customHeight="1">
      <x:c r="A62" s="28" t="str">
        <x:v>10172</x:v>
      </x:c>
      <x:c r="B62" s="28" t="str">
        <x:v>أنور محمد إبراهيم محمد</x:v>
      </x:c>
      <x:c r="C62" s="28" t="str">
        <x:v>أنور محمد إبراهيم محمد</x:v>
      </x:c>
      <x:c r="D62" s="28" t="str">
        <x:v>أنور محمد إبراهيم محمد</x:v>
      </x:c>
      <x:c r="E62" s="28" t="str">
        <x:v>70561365</x:v>
      </x:c>
      <x:c r="F62" s="28" t="str">
        <x:v>70561365</x:v>
      </x:c>
      <x:c r="G62" s="28" t="str">
        <x:v>27573600311</x:v>
      </x:c>
      <x:c r="H62" s="38" t="n">
        <x:v>1</x:v>
      </x:c>
      <x:c r="I62" s="28" t="str">
        <x:v>مطابق بعد التطبيع</x:v>
      </x:c>
      <x:c r="J62" s="28" t="str"/>
    </x:row>
    <x:row r="63" ht="32" customHeight="1">
      <x:c r="A63" s="28" t="str">
        <x:v>10197</x:v>
      </x:c>
      <x:c r="B63" s="28" t="str">
        <x:v>احمد الشيخ الصديق هاشم الوسيله</x:v>
      </x:c>
      <x:c r="C63" s="28" t="str">
        <x:v>احمد الشيخ الصديق هاشم الوسيله</x:v>
      </x:c>
      <x:c r="D63" s="28" t="str">
        <x:v>احمد الشيخ الصديق هاشم الوسيله</x:v>
      </x:c>
      <x:c r="E63" s="28" t="str">
        <x:v>50118063</x:v>
      </x:c>
      <x:c r="F63" s="28" t="str">
        <x:v>50118063</x:v>
      </x:c>
      <x:c r="G63" s="28" t="str">
        <x:v>27773601703</x:v>
      </x:c>
      <x:c r="H63" s="38" t="n">
        <x:v>1</x:v>
      </x:c>
      <x:c r="I63" s="28" t="str">
        <x:v>مطابق بعد التطبيع</x:v>
      </x:c>
      <x:c r="J63" s="28" t="str"/>
    </x:row>
    <x:row r="64" ht="32" customHeight="1">
      <x:c r="A64" s="28" t="str">
        <x:v>11473</x:v>
      </x:c>
      <x:c r="B64" s="28" t="str">
        <x:v>عماد العياري</x:v>
      </x:c>
      <x:c r="C64" s="28" t="str">
        <x:v>عماد العياري</x:v>
      </x:c>
      <x:c r="D64" s="28" t="str">
        <x:v>عماد العياري</x:v>
      </x:c>
      <x:c r="E64" s="28" t="str">
        <x:v>66071051</x:v>
      </x:c>
      <x:c r="F64" s="28" t="str">
        <x:v>66071051</x:v>
      </x:c>
      <x:c r="G64" s="28" t="str">
        <x:v>27478800538</x:v>
      </x:c>
      <x:c r="H64" s="38" t="n">
        <x:v>1</x:v>
      </x:c>
      <x:c r="I64" s="28" t="str">
        <x:v>مطابق بعد التطبيع</x:v>
      </x:c>
      <x:c r="J64" s="28" t="str"/>
    </x:row>
    <x:row r="65" ht="32" customHeight="1">
      <x:c r="A65" s="28" t="str">
        <x:v>862169</x:v>
      </x:c>
      <x:c r="B65" s="28" t="str">
        <x:v>عبد الرحيم شاكر احمد محمد</x:v>
      </x:c>
      <x:c r="C65" s="28" t="str">
        <x:v>عبد الرحيم شاكر احمد محمد</x:v>
      </x:c>
      <x:c r="D65" s="28" t="str">
        <x:v>عبد الرحيم شاكر احمد محمد</x:v>
      </x:c>
      <x:c r="E65" s="28" t="str">
        <x:v>31310330</x:v>
      </x:c>
      <x:c r="F65" s="28" t="str">
        <x:v>31310330</x:v>
      </x:c>
      <x:c r="G65" s="28" t="str">
        <x:v>28373601770</x:v>
      </x:c>
      <x:c r="H65" s="38" t="n">
        <x:v>1</x:v>
      </x:c>
      <x:c r="I65" s="28" t="str">
        <x:v>مطابق بعد التطبيع</x:v>
      </x:c>
      <x:c r="J65" s="28" t="str"/>
    </x:row>
    <x:row r="66" ht="32" customHeight="1">
      <x:c r="A66" s="28" t="str">
        <x:v>862165</x:v>
      </x:c>
      <x:c r="B66" s="28" t="str">
        <x:v>مهدي الشريف عبد الرحيم يوسف</x:v>
      </x:c>
      <x:c r="C66" s="28" t="str">
        <x:v>مهدي الشريف عبد الرحيم يوسف</x:v>
      </x:c>
      <x:c r="D66" s="28" t="str">
        <x:v>مهدي الشريف عبد الرحيم يوسف</x:v>
      </x:c>
      <x:c r="E66" s="28" t="str">
        <x:v>33670129</x:v>
      </x:c>
      <x:c r="F66" s="28" t="str">
        <x:v>33670123</x:v>
      </x:c>
      <x:c r="G66" s="28" t="str">
        <x:v>27273601103</x:v>
      </x:c>
      <x:c r="H66" s="38" t="n">
        <x:v>1</x:v>
      </x:c>
      <x:c r="I66" s="28" t="str">
        <x:v>مطابق بعد التطبيع</x:v>
      </x:c>
      <x:c r="J66" s="28" t="str"/>
    </x:row>
    <x:row r="67" ht="32" customHeight="1">
      <x:c r="A67" s="28" t="str">
        <x:v>10663</x:v>
      </x:c>
      <x:c r="B67" s="28" t="str">
        <x:v>علاء الدين علي دباش</x:v>
      </x:c>
      <x:c r="C67" s="28" t="str">
        <x:v>علاء الدين علي دباش</x:v>
      </x:c>
      <x:c r="D67" s="28" t="str">
        <x:v>علاء الدين علي دباش</x:v>
      </x:c>
      <x:c r="E67" s="28" t="str">
        <x:v>77456429</x:v>
      </x:c>
      <x:c r="F67" s="28" t="str">
        <x:v>71146699</x:v>
      </x:c>
      <x:c r="G67" s="28" t="str">
        <x:v>30178800322</x:v>
      </x:c>
      <x:c r="H67" s="38" t="n">
        <x:v>1</x:v>
      </x:c>
      <x:c r="I67" s="28" t="str">
        <x:v>مطابق بعد التطبيع</x:v>
      </x:c>
      <x:c r="J67" s="28" t="str"/>
    </x:row>
    <x:row r="68" ht="32" customHeight="1">
      <x:c r="A68" s="28" t="str">
        <x:v>10664</x:v>
      </x:c>
      <x:c r="B68" s="28" t="str">
        <x:v>رئيس رجب</x:v>
      </x:c>
      <x:c r="C68" s="28" t="str">
        <x:v>غير موجود في النظام</x:v>
      </x:c>
      <x:c r="D68" s="28" t="str"/>
      <x:c r="E68" s="28" t="str">
        <x:v>50415688</x:v>
      </x:c>
      <x:c r="F68" s="28" t="str"/>
      <x:c r="G68" s="28" t="str"/>
      <x:c r="H68" s="38" t="n">
        <x:v>0</x:v>
      </x:c>
      <x:c r="I68" s="28" t="str">
        <x:v>غير موجود</x:v>
      </x:c>
      <x:c r="J68" s="28" t="str"/>
    </x:row>
    <x:row r="69" ht="32" customHeight="1">
      <x:c r="A69" s="28" t="str">
        <x:v>10665</x:v>
      </x:c>
      <x:c r="B69" s="28" t="str">
        <x:v>اإبنيزر</x:v>
      </x:c>
      <x:c r="C69" s="28" t="str">
        <x:v>غير موجود في النظام</x:v>
      </x:c>
      <x:c r="D69" s="28" t="str"/>
      <x:c r="E69" s="28" t="str"/>
      <x:c r="F69" s="28" t="str"/>
      <x:c r="G69" s="28" t="str"/>
      <x:c r="H69" s="38" t="n">
        <x:v>0</x:v>
      </x:c>
      <x:c r="I69" s="28" t="str">
        <x:v>غير موجود</x:v>
      </x:c>
      <x:c r="J69" s="28" t="str"/>
    </x:row>
    <x:row r="70" ht="32" customHeight="1">
      <x:c r="A70" s="28" t="str">
        <x:v>10668</x:v>
      </x:c>
      <x:c r="B70" s="28" t="str">
        <x:v>عبد المنعم حسن حمدي</x:v>
      </x:c>
      <x:c r="C70" s="28" t="str">
        <x:v>عبد المنعم حسن حمدي</x:v>
      </x:c>
      <x:c r="D70" s="28" t="str">
        <x:v>عبد المنعم حسن حمدي</x:v>
      </x:c>
      <x:c r="E70" s="28" t="str">
        <x:v>70184904</x:v>
      </x:c>
      <x:c r="F70" s="28" t="str">
        <x:v>70184904</x:v>
      </x:c>
      <x:c r="G70" s="28" t="str">
        <x:v>28408000256</x:v>
      </x:c>
      <x:c r="H70" s="38" t="n">
        <x:v>1</x:v>
      </x:c>
      <x:c r="I70" s="28" t="str">
        <x:v>مطابق بعد التطبيع</x:v>
      </x:c>
      <x:c r="J70" s="28" t="str"/>
    </x:row>
    <x:row r="71" ht="32" customHeight="1">
      <x:c r="A71" s="28" t="str">
        <x:v>10853</x:v>
      </x:c>
      <x:c r="B71" s="28" t="str">
        <x:v>محمد علی محمد خالد</x:v>
      </x:c>
      <x:c r="C71" s="28" t="str">
        <x:v>محمد علی محمد خالد</x:v>
      </x:c>
      <x:c r="D71" s="28" t="str">
        <x:v>محمد علی محمد خالد</x:v>
      </x:c>
      <x:c r="E71" s="28" t="str">
        <x:v>66047108</x:v>
      </x:c>
      <x:c r="F71" s="28" t="str">
        <x:v>50584650</x:v>
      </x:c>
      <x:c r="G71" s="28" t="str">
        <x:v>29158608000</x:v>
      </x:c>
      <x:c r="H71" s="38" t="n">
        <x:v>1</x:v>
      </x:c>
      <x:c r="I71" s="28" t="str">
        <x:v>مطابق بعد التطبيع</x:v>
      </x:c>
      <x:c r="J71" s="28" t="str"/>
    </x:row>
    <x:row r="72" ht="32" customHeight="1">
      <x:c r="A72" s="28" t="str">
        <x:v>10856</x:v>
      </x:c>
      <x:c r="B72" s="28" t="str">
        <x:v>أيمن محمد صوان</x:v>
      </x:c>
      <x:c r="C72" s="28" t="str">
        <x:v>غير موجود في النظام</x:v>
      </x:c>
      <x:c r="D72" s="28" t="str"/>
      <x:c r="E72" s="28" t="str">
        <x:v>77073470</x:v>
      </x:c>
      <x:c r="F72" s="28" t="str"/>
      <x:c r="G72" s="28" t="str"/>
      <x:c r="H72" s="38" t="n">
        <x:v>0</x:v>
      </x:c>
      <x:c r="I72" s="28" t="str">
        <x:v>غير موجود</x:v>
      </x:c>
      <x:c r="J72" s="28" t="str"/>
    </x:row>
    <x:row r="73" ht="32" customHeight="1">
      <x:c r="A73" s="28" t="str">
        <x:v>10857</x:v>
      </x:c>
      <x:c r="B73" s="28" t="str">
        <x:v>شمس الدين خلفة</x:v>
      </x:c>
      <x:c r="C73" s="28" t="str">
        <x:v>غير موجود في النظام</x:v>
      </x:c>
      <x:c r="D73" s="28" t="str"/>
      <x:c r="E73" s="28" t="str">
        <x:v>50032458</x:v>
      </x:c>
      <x:c r="F73" s="28" t="str"/>
      <x:c r="G73" s="28" t="str"/>
      <x:c r="H73" s="38" t="n">
        <x:v>0</x:v>
      </x:c>
      <x:c r="I73" s="28" t="str">
        <x:v>غير موجود</x:v>
      </x:c>
      <x:c r="J73" s="28" t="str"/>
    </x:row>
    <x:row r="74" ht="32" customHeight="1">
      <x:c r="A74" s="28" t="str">
        <x:v>847941</x:v>
      </x:c>
      <x:c r="B74" s="28" t="str">
        <x:v>رافي</x:v>
      </x:c>
      <x:c r="C74" s="28" t="str">
        <x:v>غير موجود في النظام</x:v>
      </x:c>
      <x:c r="D74" s="28" t="str"/>
      <x:c r="E74" s="28" t="str"/>
      <x:c r="F74" s="28" t="str"/>
      <x:c r="G74" s="28" t="str"/>
      <x:c r="H74" s="38" t="n">
        <x:v>0</x:v>
      </x:c>
      <x:c r="I74" s="28" t="str">
        <x:v>غير موجود</x:v>
      </x:c>
      <x:c r="J74" s="28" t="str"/>
    </x:row>
    <x:row r="75" ht="32" customHeight="1">
      <x:c r="A75" s="28" t="str">
        <x:v>846508</x:v>
      </x:c>
      <x:c r="B75" s="28" t="str">
        <x:v>مهدي الحسين الحسني</x:v>
      </x:c>
      <x:c r="C75" s="28" t="str">
        <x:v>مهدي الحسين الحسني</x:v>
      </x:c>
      <x:c r="D75" s="28" t="str">
        <x:v>مهدي الحسين الحسني</x:v>
      </x:c>
      <x:c r="E75" s="28" t="str"/>
      <x:c r="F75" s="28" t="str">
        <x:v>30180684</x:v>
      </x:c>
      <x:c r="G75" s="28" t="str">
        <x:v>28078800388</x:v>
      </x:c>
      <x:c r="H75" s="38" t="n">
        <x:v>1</x:v>
      </x:c>
      <x:c r="I75" s="28" t="str">
        <x:v>مطابق بعد التطبيع</x:v>
      </x:c>
      <x:c r="J75" s="28" t="str"/>
    </x:row>
    <x:row r="76" ht="32" customHeight="1">
      <x:c r="A76" s="28" t="str">
        <x:v>847987</x:v>
      </x:c>
      <x:c r="B76" s="28" t="str">
        <x:v>رافي</x:v>
      </x:c>
      <x:c r="C76" s="28" t="str">
        <x:v>غير موجود في النظام</x:v>
      </x:c>
      <x:c r="D76" s="28" t="str"/>
      <x:c r="E76" s="28" t="str"/>
      <x:c r="F76" s="28" t="str"/>
      <x:c r="G76" s="28" t="str"/>
      <x:c r="H76" s="38" t="n">
        <x:v>0</x:v>
      </x:c>
      <x:c r="I76" s="28" t="str">
        <x:v>غير موجود</x:v>
      </x:c>
      <x:c r="J76" s="28" t="str"/>
    </x:row>
    <x:row r="77" ht="32" customHeight="1">
      <x:c r="A77" s="28" t="str">
        <x:v>848014</x:v>
      </x:c>
      <x:c r="B77" s="28" t="str">
        <x:v>طارق محمد الرحالي</x:v>
      </x:c>
      <x:c r="C77" s="28" t="str">
        <x:v>طارق محمد الرحالي</x:v>
      </x:c>
      <x:c r="D77" s="28" t="str">
        <x:v>طارق محمد الرحالي</x:v>
      </x:c>
      <x:c r="E77" s="28" t="str"/>
      <x:c r="F77" s="28" t="str">
        <x:v>30762577</x:v>
      </x:c>
      <x:c r="G77" s="28" t="str">
        <x:v>29478802505</x:v>
      </x:c>
      <x:c r="H77" s="38" t="n">
        <x:v>1</x:v>
      </x:c>
      <x:c r="I77" s="28" t="str">
        <x:v>مطابق بعد التطبيع</x:v>
      </x:c>
      <x:c r="J77" s="28" t="str"/>
    </x:row>
    <x:row r="78" ht="32" customHeight="1">
      <x:c r="A78" s="28" t="str">
        <x:v>847099</x:v>
      </x:c>
      <x:c r="B78" s="28" t="str">
        <x:v>أمير عبد الرحمن احمد المهدى بط</x:v>
      </x:c>
      <x:c r="C78" s="28" t="str">
        <x:v>أمير عبد الرحمن احمد المهدى بط</x:v>
      </x:c>
      <x:c r="D78" s="28" t="str"/>
      <x:c r="E78" s="28" t="str"/>
      <x:c r="F78" s="28" t="str"/>
      <x:c r="G78" s="28" t="str"/>
      <x:c r="H78" s="38" t="n">
        <x:v>0</x:v>
      </x:c>
      <x:c r="I78" s="28" t="str">
        <x:v>غير موجود</x:v>
      </x:c>
      <x:c r="J78" s="28" t="str"/>
    </x:row>
    <x:row r="79" ht="32" customHeight="1">
      <x:c r="A79" s="28" t="str">
        <x:v>847059</x:v>
      </x:c>
      <x:c r="B79" s="28" t="str">
        <x:v>بدر الدين الخليفي</x:v>
      </x:c>
      <x:c r="C79" s="28" t="str">
        <x:v>بدر الدين الخليفي</x:v>
      </x:c>
      <x:c r="D79" s="28" t="str">
        <x:v>بدر الدين الخليفي</x:v>
      </x:c>
      <x:c r="E79" s="28" t="str"/>
      <x:c r="F79" s="28" t="str">
        <x:v>77754754</x:v>
      </x:c>
      <x:c r="G79" s="28" t="str">
        <x:v>29278801950</x:v>
      </x:c>
      <x:c r="H79" s="38" t="n">
        <x:v>1</x:v>
      </x:c>
      <x:c r="I79" s="28" t="str">
        <x:v>مطابق بعد التطبيع</x:v>
      </x:c>
      <x:c r="J79" s="28" t="str"/>
    </x:row>
    <x:row r="80" ht="32" customHeight="1">
      <x:c r="A80" s="28" t="str">
        <x:v>846485</x:v>
      </x:c>
      <x:c r="B80" s="28" t="str">
        <x:v>أسامة جريس</x:v>
      </x:c>
      <x:c r="C80" s="28" t="str">
        <x:v>أسامة جريس</x:v>
      </x:c>
      <x:c r="D80" s="28" t="str">
        <x:v>أسامة جريس</x:v>
      </x:c>
      <x:c r="E80" s="28" t="str"/>
      <x:c r="F80" s="28" t="str">
        <x:v>70381387</x:v>
      </x:c>
      <x:c r="G80" s="28" t="str">
        <x:v>27273601418</x:v>
      </x:c>
      <x:c r="H80" s="38" t="n">
        <x:v>1</x:v>
      </x:c>
      <x:c r="I80" s="28" t="str">
        <x:v>مطابق بعد التطبيع</x:v>
      </x:c>
      <x:c r="J80" s="28" t="str"/>
    </x:row>
    <x:row r="81" ht="32" customHeight="1">
      <x:c r="A81" s="28" t="str">
        <x:v>847601</x:v>
      </x:c>
      <x:c r="B81" s="28" t="str">
        <x:v>طارق محمد الرحالي</x:v>
      </x:c>
      <x:c r="C81" s="28" t="str">
        <x:v>طارق محمد الرحالي</x:v>
      </x:c>
      <x:c r="D81" s="28" t="str">
        <x:v>طارق محمد الرحالي</x:v>
      </x:c>
      <x:c r="E81" s="28" t="str"/>
      <x:c r="F81" s="28" t="str">
        <x:v>30762577</x:v>
      </x:c>
      <x:c r="G81" s="28" t="str">
        <x:v>29478802505</x:v>
      </x:c>
      <x:c r="H81" s="38" t="n">
        <x:v>1</x:v>
      </x:c>
      <x:c r="I81" s="28" t="str">
        <x:v>مطابق بعد التطبيع</x:v>
      </x:c>
      <x:c r="J81" s="28" t="str"/>
    </x:row>
    <x:row r="82" ht="32" customHeight="1">
      <x:c r="A82" s="28" t="str">
        <x:v>847932</x:v>
      </x:c>
      <x:c r="B82" s="28" t="str">
        <x:v>حسن بن ساسی ظاهری</x:v>
      </x:c>
      <x:c r="C82" s="28" t="str">
        <x:v>حسن بن ساسی ظاهری</x:v>
      </x:c>
      <x:c r="D82" s="28" t="str">
        <x:v>حسن بن ساسی ظاهری</x:v>
      </x:c>
      <x:c r="E82" s="28" t="str"/>
      <x:c r="F82" s="28" t="str">
        <x:v>31115657</x:v>
      </x:c>
      <x:c r="G82" s="28" t="str">
        <x:v>29778800219</x:v>
      </x:c>
      <x:c r="H82" s="38" t="n">
        <x:v>1</x:v>
      </x:c>
      <x:c r="I82" s="28" t="str">
        <x:v>مطابق بعد التطبيع</x:v>
      </x:c>
      <x:c r="J82" s="28" t="str"/>
    </x:row>
    <x:row r="83" ht="32" customHeight="1">
      <x:c r="A83" s="28" t="str">
        <x:v>4015</x:v>
      </x:c>
      <x:c r="B83" s="28" t="str">
        <x:v>إبراهيم خضر</x:v>
      </x:c>
      <x:c r="C83" s="28" t="str">
        <x:v>إبراهيم خضر</x:v>
      </x:c>
      <x:c r="D83" s="28" t="str">
        <x:v>إبراهيم خضر</x:v>
      </x:c>
      <x:c r="E83" s="28" t="str">
        <x:v>33750040</x:v>
      </x:c>
      <x:c r="F83" s="28" t="str">
        <x:v>33750040</x:v>
      </x:c>
      <x:c r="G83" s="28" t="str">
        <x:v>27773600560</x:v>
      </x:c>
      <x:c r="H83" s="38" t="n">
        <x:v>1</x:v>
      </x:c>
      <x:c r="I83" s="28" t="str">
        <x:v>مطابق بعد التطبيع</x:v>
      </x:c>
      <x:c r="J83" s="28" t="str"/>
    </x:row>
    <x:row r="84" ht="32" customHeight="1">
      <x:c r="A84" s="28" t="str">
        <x:v>4016</x:v>
      </x:c>
      <x:c r="B84" s="28" t="str">
        <x:v>عبد الرزاق حمد حماد الهنيديس</x:v>
      </x:c>
      <x:c r="C84" s="28" t="str">
        <x:v>عبد الرزاق حمد حماد الهنيديس</x:v>
      </x:c>
      <x:c r="D84" s="28" t="str">
        <x:v>عبد الرزاق حمد حماد الهنيديس</x:v>
      </x:c>
      <x:c r="E84" s="28" t="str"/>
      <x:c r="F84" s="28" t="str">
        <x:v>71921634</x:v>
      </x:c>
      <x:c r="G84" s="28" t="str">
        <x:v>28476001834</x:v>
      </x:c>
      <x:c r="H84" s="38" t="n">
        <x:v>1</x:v>
      </x:c>
      <x:c r="I84" s="28" t="str">
        <x:v>مطابق بعد التطبيع</x:v>
      </x:c>
      <x:c r="J84" s="28" t="str"/>
    </x:row>
    <x:row r="85" ht="32" customHeight="1">
      <x:c r="A85" s="28" t="str">
        <x:v>4018</x:v>
      </x:c>
      <x:c r="B85" s="28" t="str">
        <x:v>عبد الرحيم شاكر احمد محمد</x:v>
      </x:c>
      <x:c r="C85" s="28" t="str">
        <x:v>عبد الرحيم شاكر احمد محمد</x:v>
      </x:c>
      <x:c r="D85" s="28" t="str">
        <x:v>عبد الرحيم شاكر احمد محمد</x:v>
      </x:c>
      <x:c r="E85" s="28" t="str">
        <x:v>31310330</x:v>
      </x:c>
      <x:c r="F85" s="28" t="str">
        <x:v>31310330</x:v>
      </x:c>
      <x:c r="G85" s="28" t="str">
        <x:v>28373601770</x:v>
      </x:c>
      <x:c r="H85" s="38" t="n">
        <x:v>1</x:v>
      </x:c>
      <x:c r="I85" s="28" t="str">
        <x:v>مطابق بعد التطبيع</x:v>
      </x:c>
      <x:c r="J85" s="28" t="str"/>
    </x:row>
    <x:row r="86" ht="32" customHeight="1">
      <x:c r="A86" s="28" t="str">
        <x:v>8203</x:v>
      </x:c>
      <x:c r="B86" s="28" t="str">
        <x:v>محمد عماد النعماني</x:v>
      </x:c>
      <x:c r="C86" s="28" t="str">
        <x:v>محمد عماد النعماني</x:v>
      </x:c>
      <x:c r="D86" s="28" t="str">
        <x:v>محمد عماد النعماني</x:v>
      </x:c>
      <x:c r="E86" s="28" t="str">
        <x:v>51230549 77387737</x:v>
      </x:c>
      <x:c r="F86" s="28" t="str">
        <x:v>51230549</x:v>
      </x:c>
      <x:c r="G86" s="28" t="str">
        <x:v>29878800782</x:v>
      </x:c>
      <x:c r="H86" s="38" t="n">
        <x:v>1</x:v>
      </x:c>
      <x:c r="I86" s="28" t="str">
        <x:v>مطابق بعد التطبيع</x:v>
      </x:c>
      <x:c r="J86" s="28" t="str"/>
    </x:row>
    <x:row r="87" ht="32" customHeight="1">
      <x:c r="A87" s="28" t="str">
        <x:v>8204</x:v>
      </x:c>
      <x:c r="B87" s="28" t="str">
        <x:v>سيف الدين محمد صالح حسين</x:v>
      </x:c>
      <x:c r="C87" s="28" t="str">
        <x:v>سيف الدين محمد صالح حسين</x:v>
      </x:c>
      <x:c r="D87" s="28" t="str">
        <x:v>سيف الدين محمد صالح حسين</x:v>
      </x:c>
      <x:c r="E87" s="28" t="str">
        <x:v>33773235</x:v>
      </x:c>
      <x:c r="F87" s="28" t="str">
        <x:v>70692947</x:v>
      </x:c>
      <x:c r="G87" s="28" t="str">
        <x:v>29673602602</x:v>
      </x:c>
      <x:c r="H87" s="38" t="n">
        <x:v>1</x:v>
      </x:c>
      <x:c r="I87" s="28" t="str">
        <x:v>مطابق بعد التطبيع</x:v>
      </x:c>
      <x:c r="J87" s="28" t="str"/>
    </x:row>
    <x:row r="88" ht="32" customHeight="1">
      <x:c r="A88" s="28" t="str">
        <x:v>8206</x:v>
      </x:c>
      <x:c r="B88" s="28" t="str">
        <x:v>محمد علي سليم</x:v>
      </x:c>
      <x:c r="C88" s="28" t="str">
        <x:v>محمد علي سليم</x:v>
      </x:c>
      <x:c r="D88" s="28" t="str">
        <x:v>محمد علي سليم</x:v>
      </x:c>
      <x:c r="E88" s="28" t="str">
        <x:v>30797703</x:v>
      </x:c>
      <x:c r="F88" s="28" t="str">
        <x:v>30757703</x:v>
      </x:c>
      <x:c r="G88" s="28" t="str">
        <x:v>28778801843</x:v>
      </x:c>
      <x:c r="H88" s="38" t="n">
        <x:v>1</x:v>
      </x:c>
      <x:c r="I88" s="28" t="str">
        <x:v>مطابق بعد التطبيع</x:v>
      </x:c>
      <x:c r="J88" s="28" t="str"/>
    </x:row>
    <x:row r="89" ht="32" customHeight="1">
      <x:c r="A89" s="28" t="str">
        <x:v>8207</x:v>
      </x:c>
      <x:c r="B89" s="28" t="str">
        <x:v>حسن عبدالوهاب محمد الفكي</x:v>
      </x:c>
      <x:c r="C89" s="28" t="str">
        <x:v>حسن عبدالوهاب محمد الفكي</x:v>
      </x:c>
      <x:c r="D89" s="28" t="str">
        <x:v>حسن عبدالوهاب محمد الفكي</x:v>
      </x:c>
      <x:c r="E89" s="28" t="str">
        <x:v>51060253</x:v>
      </x:c>
      <x:c r="F89" s="28" t="str">
        <x:v>51060253</x:v>
      </x:c>
      <x:c r="G89" s="28" t="str">
        <x:v>30173603044</x:v>
      </x:c>
      <x:c r="H89" s="38" t="n">
        <x:v>1</x:v>
      </x:c>
      <x:c r="I89" s="28" t="str">
        <x:v>مطابق بعد التطبيع</x:v>
      </x:c>
      <x:c r="J89" s="28" t="str"/>
    </x:row>
    <x:row r="90" ht="32" customHeight="1">
      <x:c r="A90" s="28" t="str">
        <x:v>8209</x:v>
      </x:c>
      <x:c r="B90" s="28" t="str">
        <x:v>طارق تطواني</x:v>
      </x:c>
      <x:c r="C90" s="28" t="str">
        <x:v>غير موجود في النظام</x:v>
      </x:c>
      <x:c r="D90" s="28" t="str"/>
      <x:c r="E90" s="28" t="str"/>
      <x:c r="F90" s="28" t="str"/>
      <x:c r="G90" s="28" t="str"/>
      <x:c r="H90" s="38" t="n">
        <x:v>0</x:v>
      </x:c>
      <x:c r="I90" s="28" t="str">
        <x:v>غير موجود</x:v>
      </x:c>
      <x:c r="J90" s="28" t="str"/>
    </x:row>
    <x:row r="91" ht="32" customHeight="1">
      <x:c r="A91" s="28" t="str">
        <x:v>8211</x:v>
      </x:c>
      <x:c r="B91" s="28" t="str">
        <x:v>علي هلال الصخري</x:v>
      </x:c>
      <x:c r="C91" s="28" t="str">
        <x:v>علي هلال الصخري</x:v>
      </x:c>
      <x:c r="D91" s="28" t="str">
        <x:v>علي هلال الصخري</x:v>
      </x:c>
      <x:c r="E91" s="28" t="str">
        <x:v>50447989</x:v>
      </x:c>
      <x:c r="F91" s="28" t="str">
        <x:v>50447989</x:v>
      </x:c>
      <x:c r="G91" s="28" t="str">
        <x:v>29073603453</x:v>
      </x:c>
      <x:c r="H91" s="38" t="n">
        <x:v>1</x:v>
      </x:c>
      <x:c r="I91" s="28" t="str">
        <x:v>مطابق بعد التطبيع</x:v>
      </x:c>
      <x:c r="J91" s="28" t="str"/>
    </x:row>
    <x:row r="92" ht="32" customHeight="1">
      <x:c r="A92" s="28" t="str">
        <x:v>8212</x:v>
      </x:c>
      <x:c r="B92" s="28" t="str">
        <x:v>عمر محمد الفكي</x:v>
      </x:c>
      <x:c r="C92" s="28" t="str">
        <x:v>عمر محمد الفكي</x:v>
      </x:c>
      <x:c r="D92" s="28" t="str">
        <x:v>عمر محمد الفكي</x:v>
      </x:c>
      <x:c r="E92" s="28" t="str">
        <x:v>50055884</x:v>
      </x:c>
      <x:c r="F92" s="28" t="str">
        <x:v>50055884</x:v>
      </x:c>
      <x:c r="G92" s="28" t="str"/>
      <x:c r="H92" s="38" t="n">
        <x:v>1</x:v>
      </x:c>
      <x:c r="I92" s="28" t="str">
        <x:v>مطابق بعد التطبيع</x:v>
      </x:c>
      <x:c r="J92" s="28" t="str"/>
    </x:row>
    <x:row r="93" ht="32" customHeight="1">
      <x:c r="A93" s="28" t="str">
        <x:v>8213</x:v>
      </x:c>
      <x:c r="B93" s="28" t="str">
        <x:v>يسري بوز عيبة</x:v>
      </x:c>
      <x:c r="C93" s="28" t="str">
        <x:v>يسري بوز عيبة</x:v>
      </x:c>
      <x:c r="D93" s="28" t="str"/>
      <x:c r="E93" s="28" t="str">
        <x:v>51039263</x:v>
      </x:c>
      <x:c r="F93" s="28" t="str"/>
      <x:c r="G93" s="28" t="str"/>
      <x:c r="H93" s="38" t="n">
        <x:v>0</x:v>
      </x:c>
      <x:c r="I93" s="28" t="str">
        <x:v>غير موجود</x:v>
      </x:c>
      <x:c r="J93" s="28" t="str"/>
    </x:row>
  </x:sheetData>
  <x:mergeCells>
    <x:mergeCell ref="A1:J1"/>
    <x:mergeCell ref="A2:J2"/>
  </x:mergeCells>
  <x:conditionalFormatting sqref="I5:I93">
    <x:cfRule type="containsText" dxfId="5" priority="1" operator="containsText" text="غير موجود"/>
    <x:cfRule type="containsText" dxfId="6" priority="2" operator="containsText" text="متعددة"/>
  </x:conditionalFormatting>
  <x:pageMargins left="0.7" right="0.7" top="0.75" bottom="0.75" header="0.3" footer="0.3"/>
  <x:tableParts count="1">
    <x:tablePart xmlns:r="http://schemas.openxmlformats.org/officeDocument/2006/relationships" r:id="R7ee092f757dd471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30" hidden="0" customWidth="1"/>
    <x:col min="4" max="4" width="20" hidden="0" customWidth="1"/>
    <x:col min="5" max="5" width="18" hidden="0" customWidth="1"/>
    <x:col min="6" max="6" width="22" hidden="0" customWidth="1"/>
    <x:col min="7" max="7" width="20" hidden="0" customWidth="1"/>
    <x:col min="8" max="8" width="20" hidden="0" customWidth="1"/>
    <x:col min="9" max="9" width="22" hidden="0" customWidth="1"/>
    <x:col min="10" max="10" width="54" hidden="0" customWidth="1"/>
  </x:cols>
  <x:sheetData>
    <x:row r="1" ht="34" customHeight="1">
      <x:c r="A1" s="4" t="str">
        <x:v>تدقيق مكونات المطالبات القانونية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9" t="str">
        <x:v>الورقة تفصل الإيجار عن فواتير المخالفات. عند وجود إثبات مخالفات، تُضاف المخالفة مرة واحدة ولا تبقى فاتورتها داخل الإيجار المتأخر.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34" customHeight="1">
      <x:c r="A4" s="18" t="str">
        <x:v>رقم العقد</x:v>
      </x:c>
      <x:c r="B4" s="84" t="str">
        <x:v>اللوحة</x:v>
      </x:c>
      <x:c r="C4" s="84" t="str">
        <x:v>العميل</x:v>
      </x:c>
      <x:c r="D4" s="84" t="str">
        <x:v>إجمالي المطالبة قبل التصحيح</x:v>
      </x:c>
      <x:c r="E4" s="84" t="str">
        <x:v>فواتير الإيجار المستحقة</x:v>
      </x:c>
      <x:c r="F4" s="84" t="str">
        <x:v>فواتير مخالفات داخلة ضمن المستحق</x:v>
      </x:c>
      <x:c r="G4" s="84" t="str">
        <x:v>المخالفات المضافة مستقلاً</x:v>
      </x:c>
      <x:c r="H4" s="84" t="str">
        <x:v>الإجمالي بعد منع التكرار</x:v>
      </x:c>
      <x:c r="I4" s="84" t="str">
        <x:v>نتيجة التدقيق</x:v>
      </x:c>
      <x:c r="J4" s="19" t="str">
        <x:v>الإجراء النظامي</x:v>
      </x:c>
    </x:row>
    <x:row r="5" ht="38" customHeight="1">
      <x:c r="A5" s="27" t="str">
        <x:v>C-ALF-0058</x:v>
      </x:c>
      <x:c r="B5" s="27" t="str">
        <x:v>706150</x:v>
      </x:c>
      <x:c r="C5" s="27" t="str">
        <x:v>مروان باكير</x:v>
      </x:c>
      <x:c r="D5" s="36" t="n">
        <x:v>23200</x:v>
      </x:c>
      <x:c r="E5" s="36" t="n">
        <x:v>19200</x:v>
      </x:c>
      <x:c r="F5" s="36" t="n">
        <x:v>2000</x:v>
      </x:c>
      <x:c r="G5" s="36" t="n">
        <x:v>2000</x:v>
      </x:c>
      <x:c r="H5" s="36" t="n">
        <x:f>MAX(0,D5-F5)</x:f>
        <x:v>21200</x:v>
      </x:c>
      <x:c r="I5" s="27" t="str">
        <x:f>IF(AND(F5&gt;0,G5&gt;0),"تضخيم مؤكد",IF(F5&gt;0,"مستبعد لغياب الدليل","لا يوجد تكرار"))</x:f>
        <x:v>تضخيم مؤكد</x:v>
      </x:c>
      <x:c r="J5" s="27" t="str">
        <x:v>استبعاد فاتورة المخالفة من الإيجار والإبقاء على المخالفة المثبتة مرة واحدة.</x:v>
      </x:c>
    </x:row>
    <x:row r="6" ht="38" customHeight="1">
      <x:c r="A6" s="28" t="str">
        <x:v>AGR-202504-406129</x:v>
      </x:c>
      <x:c r="B6" s="28" t="str">
        <x:v>856718</x:v>
      </x:c>
      <x:c r="C6" s="28" t="str">
        <x:v>حسان بو علاق</x:v>
      </x:c>
      <x:c r="D6" s="37" t="n">
        <x:v>50348</x:v>
      </x:c>
      <x:c r="E6" s="37" t="n">
        <x:v>16948</x:v>
      </x:c>
      <x:c r="F6" s="37" t="n">
        <x:v>21200</x:v>
      </x:c>
      <x:c r="G6" s="37" t="n">
        <x:v>12200</x:v>
      </x:c>
      <x:c r="H6" s="37" t="n">
        <x:f>MAX(0,D6-F6)</x:f>
        <x:v>29148</x:v>
      </x:c>
      <x:c r="I6" s="28" t="str">
        <x:f>IF(AND(F6&gt;0,G6&gt;0),"تضخيم مؤكد",IF(F6&gt;0,"مستبعد لغياب الدليل","لا يوجد تكرار"))</x:f>
        <x:v>تضخيم مؤكد</x:v>
      </x:c>
      <x:c r="J6" s="28" t="str">
        <x:v>استبعاد فاتورة المخالفة من الإيجار والإبقاء على المخالفة المثبتة مرة واحدة.</x:v>
      </x:c>
    </x:row>
    <x:row r="7" ht="38" customHeight="1">
      <x:c r="A7" s="28" t="str">
        <x:v>C-ALF-0083</x:v>
      </x:c>
      <x:c r="B7" s="28" t="str">
        <x:v>857045</x:v>
      </x:c>
      <x:c r="C7" s="28" t="str">
        <x:v>عمارة خرّوبي</x:v>
      </x:c>
      <x:c r="D7" s="37" t="n">
        <x:v>15950</x:v>
      </x:c>
      <x:c r="E7" s="37" t="n">
        <x:v>9350</x:v>
      </x:c>
      <x:c r="F7" s="37" t="n">
        <x:v>500</x:v>
      </x:c>
      <x:c r="G7" s="37" t="n">
        <x:v>6100</x:v>
      </x:c>
      <x:c r="H7" s="37" t="n">
        <x:f>MAX(0,D7-F7)</x:f>
        <x:v>15450</x:v>
      </x:c>
      <x:c r="I7" s="28" t="str">
        <x:f>IF(AND(F7&gt;0,G7&gt;0),"تضخيم مؤكد",IF(F7&gt;0,"مستبعد لغياب الدليل","لا يوجد تكرار"))</x:f>
        <x:v>تضخيم مؤكد</x:v>
      </x:c>
      <x:c r="J7" s="28" t="str">
        <x:v>استبعاد فاتورة المخالفة من الإيجار والإبقاء على المخالفة المثبتة مرة واحدة.</x:v>
      </x:c>
    </x:row>
    <x:row r="8" ht="38" customHeight="1">
      <x:c r="A8" s="28" t="str">
        <x:v>AGR-202504-424958</x:v>
      </x:c>
      <x:c r="B8" s="28" t="str">
        <x:v>2766</x:v>
      </x:c>
      <x:c r="C8" s="28" t="str">
        <x:v>محمد محمد أحمد محمد</x:v>
      </x:c>
      <x:c r="D8" s="37" t="n">
        <x:v>12325</x:v>
      </x:c>
      <x:c r="E8" s="37" t="n">
        <x:v>6400</x:v>
      </x:c>
      <x:c r="F8" s="37" t="n">
        <x:v>2125</x:v>
      </x:c>
      <x:c r="G8" s="37" t="n">
        <x:v>3800</x:v>
      </x:c>
      <x:c r="H8" s="37" t="n">
        <x:f>MAX(0,D8-F8)</x:f>
        <x:v>10200</x:v>
      </x:c>
      <x:c r="I8" s="28" t="str">
        <x:f>IF(AND(F8&gt;0,G8&gt;0),"تضخيم مؤكد",IF(F8&gt;0,"مستبعد لغياب الدليل","لا يوجد تكرار"))</x:f>
        <x:v>تضخيم مؤكد</x:v>
      </x:c>
      <x:c r="J8" s="28" t="str">
        <x:v>استبعاد فاتورة المخالفة من الإيجار والإبقاء على المخالفة المثبتة مرة واحدة.</x:v>
      </x:c>
    </x:row>
    <x:row r="9" ht="38" customHeight="1">
      <x:c r="A9" s="28" t="str">
        <x:v>C-ALF-0014</x:v>
      </x:c>
      <x:c r="B9" s="28" t="str">
        <x:v>2769</x:v>
      </x:c>
      <x:c r="C9" s="28" t="str">
        <x:v>وضاح عبد الله احمد العبيد</x:v>
      </x:c>
      <x:c r="D9" s="37" t="n">
        <x:v>30600</x:v>
      </x:c>
      <x:c r="E9" s="37" t="n">
        <x:v>17000</x:v>
      </x:c>
      <x:c r="F9" s="37" t="n">
        <x:v>6800</x:v>
      </x:c>
      <x:c r="G9" s="37" t="n">
        <x:v>6800</x:v>
      </x:c>
      <x:c r="H9" s="37" t="n">
        <x:f>MAX(0,D9-F9)</x:f>
        <x:v>23800</x:v>
      </x:c>
      <x:c r="I9" s="28" t="str">
        <x:f>IF(AND(F9&gt;0,G9&gt;0),"تضخيم مؤكد",IF(F9&gt;0,"مستبعد لغياب الدليل","لا يوجد تكرار"))</x:f>
        <x:v>تضخيم مؤكد</x:v>
      </x:c>
      <x:c r="J9" s="28" t="str">
        <x:v>استبعاد فاتورة المخالفة من الإيجار والإبقاء على المخالفة المثبتة مرة واحدة.</x:v>
      </x:c>
    </x:row>
    <x:row r="10" ht="38" customHeight="1">
      <x:c r="A10" s="28" t="str">
        <x:v>C-ALF-0023</x:v>
      </x:c>
      <x:c r="B10" s="28" t="str">
        <x:v>2778</x:v>
      </x:c>
      <x:c r="C10" s="28" t="str">
        <x:v>بلال اليعقوبي</x:v>
      </x:c>
      <x:c r="D10" s="37" t="n">
        <x:v>25500</x:v>
      </x:c>
      <x:c r="E10" s="37" t="n">
        <x:v>17000</x:v>
      </x:c>
      <x:c r="F10" s="37" t="n">
        <x:v>3100</x:v>
      </x:c>
      <x:c r="G10" s="37" t="n">
        <x:v>5400</x:v>
      </x:c>
      <x:c r="H10" s="37" t="n">
        <x:f>MAX(0,D10-F10)</x:f>
        <x:v>22400</x:v>
      </x:c>
      <x:c r="I10" s="28" t="str">
        <x:f>IF(AND(F10&gt;0,G10&gt;0),"تضخيم مؤكد",IF(F10&gt;0,"مستبعد لغياب الدليل","لا يوجد تكرار"))</x:f>
        <x:v>تضخيم مؤكد</x:v>
      </x:c>
      <x:c r="J10" s="28" t="str">
        <x:v>استبعاد فاتورة المخالفة من الإيجار والإبقاء على المخالفة المثبتة مرة واحدة.</x:v>
      </x:c>
    </x:row>
    <x:row r="11" ht="38" customHeight="1">
      <x:c r="A11" s="28" t="str">
        <x:v>C-ALF-0025</x:v>
      </x:c>
      <x:c r="B11" s="28" t="str">
        <x:v>2780</x:v>
      </x:c>
      <x:c r="C11" s="28" t="str">
        <x:v>ياسين محمد سرحاني</x:v>
      </x:c>
      <x:c r="D11" s="37" t="n">
        <x:v>26660</x:v>
      </x:c>
      <x:c r="E11" s="37" t="n">
        <x:v>20660</x:v>
      </x:c>
      <x:c r="F11" s="37" t="n">
        <x:v>6000</x:v>
      </x:c>
      <x:c r="G11" s="37" t="n">
        <x:v>0</x:v>
      </x:c>
      <x:c r="H11" s="37" t="n">
        <x:f>MAX(0,D11-F11)</x:f>
        <x:v>20660</x:v>
      </x:c>
      <x:c r="I11" s="28" t="str">
        <x:f>IF(AND(F11&gt;0,G11&gt;0),"تضخيم مؤكد",IF(F11&gt;0,"مستبعد لغياب الدليل","لا يوجد تكرار"))</x:f>
        <x:v>مستبعد لغياب الدليل</x:v>
      </x:c>
      <x:c r="J11" s="28" t="str">
        <x:v>فاتورة مخالفة مستبعدة من الإيجار؛ لا تدخل المطالبة قبل وجود دليل مخالفات.</x:v>
      </x:c>
    </x:row>
    <x:row r="12" ht="38" customHeight="1">
      <x:c r="A12" s="28" t="str">
        <x:v>C-ALF-0039</x:v>
      </x:c>
      <x:c r="B12" s="28" t="str">
        <x:v>5898</x:v>
      </x:c>
      <x:c r="C12" s="28" t="str">
        <x:v>محمد سرالختم</x:v>
      </x:c>
      <x:c r="D12" s="37" t="n">
        <x:v>66700</x:v>
      </x:c>
      <x:c r="E12" s="37" t="n">
        <x:v>12500</x:v>
      </x:c>
      <x:c r="F12" s="37" t="n">
        <x:v>27100</x:v>
      </x:c>
      <x:c r="G12" s="37" t="n">
        <x:v>27100</x:v>
      </x:c>
      <x:c r="H12" s="37" t="n">
        <x:f>MAX(0,D12-F12)</x:f>
        <x:v>39600</x:v>
      </x:c>
      <x:c r="I12" s="28" t="str">
        <x:f>IF(AND(F12&gt;0,G12&gt;0),"تضخيم مؤكد",IF(F12&gt;0,"مستبعد لغياب الدليل","لا يوجد تكرار"))</x:f>
        <x:v>تضخيم مؤكد</x:v>
      </x:c>
      <x:c r="J12" s="28" t="str">
        <x:v>استبعاد فاتورة المخالفة من الإيجار والإبقاء على المخالفة المثبتة مرة واحدة.</x:v>
      </x:c>
    </x:row>
    <x:row r="13" ht="38" customHeight="1">
      <x:c r="A13" s="28" t="str">
        <x:v>C-ALF-0041</x:v>
      </x:c>
      <x:c r="B13" s="28" t="str">
        <x:v>5900</x:v>
      </x:c>
      <x:c r="C13" s="28" t="str">
        <x:v>فخري الدين عثمان</x:v>
      </x:c>
      <x:c r="D13" s="37" t="n">
        <x:v>24650</x:v>
      </x:c>
      <x:c r="E13" s="37" t="n">
        <x:v>22550</x:v>
      </x:c>
      <x:c r="F13" s="37" t="n">
        <x:v>0</x:v>
      </x:c>
      <x:c r="G13" s="37" t="n">
        <x:v>500</x:v>
      </x:c>
      <x:c r="H13" s="37" t="n">
        <x:f>MAX(0,D13-F13)</x:f>
        <x:v>24650</x:v>
      </x:c>
      <x:c r="I13" s="28" t="str">
        <x:f>IF(AND(F13&gt;0,G13&gt;0),"تضخيم مؤكد",IF(F13&gt;0,"مستبعد لغياب الدليل","لا يوجد تكرار"))</x:f>
        <x:v>لا يوجد تكرار</x:v>
      </x:c>
      <x:c r="J13" s="28" t="str">
        <x:v>لا يظهر تكرار من فواتير المخالفات.</x:v>
      </x:c>
    </x:row>
    <x:row r="14" ht="38" customHeight="1">
      <x:c r="A14" s="28" t="str">
        <x:v>HIST-XLS-T77-5900</x:v>
      </x:c>
      <x:c r="B14" s="28" t="str">
        <x:v>5900</x:v>
      </x:c>
      <x:c r="C14" s="28" t="str">
        <x:v>محمد عزيز محسن جلالي</x:v>
      </x:c>
      <x:c r="D14" s="37" t="n">
        <x:v>3800</x:v>
      </x:c>
      <x:c r="E14" s="37" t="n">
        <x:v>800</x:v>
      </x:c>
      <x:c r="F14" s="37" t="n">
        <x:v>1100</x:v>
      </x:c>
      <x:c r="G14" s="37" t="n">
        <x:v>1900</x:v>
      </x:c>
      <x:c r="H14" s="37" t="n">
        <x:f>MAX(0,D14-F14)</x:f>
        <x:v>2700</x:v>
      </x:c>
      <x:c r="I14" s="28" t="str">
        <x:f>IF(AND(F14&gt;0,G14&gt;0),"تضخيم مؤكد",IF(F14&gt;0,"مستبعد لغياب الدليل","لا يوجد تكرار"))</x:f>
        <x:v>تضخيم مؤكد</x:v>
      </x:c>
      <x:c r="J14" s="28" t="str">
        <x:v>استبعاد فاتورة المخالفة من الإيجار والإبقاء على المخالفة المثبتة مرة واحدة.</x:v>
      </x:c>
    </x:row>
    <x:row r="15" ht="38" customHeight="1">
      <x:c r="A15" s="28" t="str">
        <x:v>C-ALF-0048</x:v>
      </x:c>
      <x:c r="B15" s="28" t="str">
        <x:v>7038</x:v>
      </x:c>
      <x:c r="C15" s="28" t="str">
        <x:v>ثامر محمد السيد</x:v>
      </x:c>
      <x:c r="D15" s="37" t="n">
        <x:v>17240</x:v>
      </x:c>
      <x:c r="E15" s="37" t="n">
        <x:v>13240</x:v>
      </x:c>
      <x:c r="F15" s="37" t="n">
        <x:v>4000</x:v>
      </x:c>
      <x:c r="G15" s="37" t="n">
        <x:v>0</x:v>
      </x:c>
      <x:c r="H15" s="37" t="n">
        <x:f>MAX(0,D15-F15)</x:f>
        <x:v>13240</x:v>
      </x:c>
      <x:c r="I15" s="28" t="str">
        <x:f>IF(AND(F15&gt;0,G15&gt;0),"تضخيم مؤكد",IF(F15&gt;0,"مستبعد لغياب الدليل","لا يوجد تكرار"))</x:f>
        <x:v>مستبعد لغياب الدليل</x:v>
      </x:c>
      <x:c r="J15" s="28" t="str">
        <x:v>فاتورة مخالفة مستبعدة من الإيجار؛ لا تدخل المطالبة قبل وجود دليل مخالفات.</x:v>
      </x:c>
    </x:row>
    <x:row r="16" ht="38" customHeight="1">
      <x:c r="A16" s="28" t="str">
        <x:v>LTO2024136</x:v>
      </x:c>
      <x:c r="B16" s="28" t="str">
        <x:v>7041</x:v>
      </x:c>
      <x:c r="C16" s="28" t="str">
        <x:v>علاء الدين علي دباش</x:v>
      </x:c>
      <x:c r="D16" s="37" t="n">
        <x:v>200</x:v>
      </x:c>
      <x:c r="E16" s="37" t="n">
        <x:v>0</x:v>
      </x:c>
      <x:c r="F16" s="37" t="n">
        <x:v>200</x:v>
      </x:c>
      <x:c r="G16" s="37" t="n">
        <x:v>0</x:v>
      </x:c>
      <x:c r="H16" s="37" t="n">
        <x:f>MAX(0,D16-F16)</x:f>
        <x:v>0</x:v>
      </x:c>
      <x:c r="I16" s="28" t="str">
        <x:f>IF(AND(F16&gt;0,G16&gt;0),"تضخيم مؤكد",IF(F16&gt;0,"مستبعد لغياب الدليل","لا يوجد تكرار"))</x:f>
        <x:v>مستبعد لغياب الدليل</x:v>
      </x:c>
      <x:c r="J16" s="28" t="str">
        <x:v>فاتورة مخالفة مستبعدة من الإيجار؛ لا تدخل المطالبة قبل وجود دليل مخالفات.</x:v>
      </x:c>
    </x:row>
    <x:row r="17" ht="38" customHeight="1">
      <x:c r="A17" s="28" t="str">
        <x:v>LTO2024263</x:v>
      </x:c>
      <x:c r="B17" s="28" t="str">
        <x:v>7053</x:v>
      </x:c>
      <x:c r="C17" s="28" t="str">
        <x:v>مهدي أسامة المهدي حامد</x:v>
      </x:c>
      <x:c r="D17" s="37" t="n">
        <x:v>10400</x:v>
      </x:c>
      <x:c r="E17" s="37" t="n">
        <x:v>10400</x:v>
      </x:c>
      <x:c r="F17" s="37" t="n">
        <x:v>0</x:v>
      </x:c>
      <x:c r="G17" s="37" t="n">
        <x:v>0</x:v>
      </x:c>
      <x:c r="H17" s="37" t="n">
        <x:f>MAX(0,D17-F17)</x:f>
        <x:v>10400</x:v>
      </x:c>
      <x:c r="I17" s="28" t="str">
        <x:f>IF(AND(F17&gt;0,G17&gt;0),"تضخيم مؤكد",IF(F17&gt;0,"مستبعد لغياب الدليل","لا يوجد تكرار"))</x:f>
        <x:v>لا يوجد تكرار</x:v>
      </x:c>
      <x:c r="J17" s="28" t="str">
        <x:v>لا يظهر تكرار من فواتير المخالفات.</x:v>
      </x:c>
    </x:row>
    <x:row r="18" ht="38" customHeight="1">
      <x:c r="A18" s="28" t="str">
        <x:v>C-ALF-0053</x:v>
      </x:c>
      <x:c r="B18" s="28" t="str">
        <x:v>7054</x:v>
      </x:c>
      <x:c r="C18" s="28" t="str">
        <x:v>محمد جاسم الصالح</x:v>
      </x:c>
      <x:c r="D18" s="37" t="n">
        <x:v>33690</x:v>
      </x:c>
      <x:c r="E18" s="37" t="n">
        <x:v>23100</x:v>
      </x:c>
      <x:c r="F18" s="37" t="n">
        <x:v>2390</x:v>
      </x:c>
      <x:c r="G18" s="37" t="n">
        <x:v>8200</x:v>
      </x:c>
      <x:c r="H18" s="37" t="n">
        <x:f>MAX(0,D18-F18)</x:f>
        <x:v>31300</x:v>
      </x:c>
      <x:c r="I18" s="28" t="str">
        <x:f>IF(AND(F18&gt;0,G18&gt;0),"تضخيم مؤكد",IF(F18&gt;0,"مستبعد لغياب الدليل","لا يوجد تكرار"))</x:f>
        <x:v>تضخيم مؤكد</x:v>
      </x:c>
      <x:c r="J18" s="28" t="str">
        <x:v>استبعاد فاتورة المخالفة من الإيجار والإبقاء على المخالفة المثبتة مرة واحدة.</x:v>
      </x:c>
    </x:row>
    <x:row r="19" ht="38" customHeight="1">
      <x:c r="A19" s="28" t="str">
        <x:v>LTO2024141</x:v>
      </x:c>
      <x:c r="B19" s="28" t="str">
        <x:v>7060</x:v>
      </x:c>
      <x:c r="C19" s="28" t="str">
        <x:v>بنور رقية</x:v>
      </x:c>
      <x:c r="D19" s="37" t="n">
        <x:v>61700</x:v>
      </x:c>
      <x:c r="E19" s="37" t="n">
        <x:v>41900</x:v>
      </x:c>
      <x:c r="F19" s="37" t="n">
        <x:v>9900</x:v>
      </x:c>
      <x:c r="G19" s="37" t="n">
        <x:v>9900</x:v>
      </x:c>
      <x:c r="H19" s="37" t="n">
        <x:f>MAX(0,D19-F19)</x:f>
        <x:v>51800</x:v>
      </x:c>
      <x:c r="I19" s="28" t="str">
        <x:f>IF(AND(F19&gt;0,G19&gt;0),"تضخيم مؤكد",IF(F19&gt;0,"مستبعد لغياب الدليل","لا يوجد تكرار"))</x:f>
        <x:v>تضخيم مؤكد</x:v>
      </x:c>
      <x:c r="J19" s="28" t="str">
        <x:v>استبعاد فاتورة المخالفة من الإيجار والإبقاء على المخالفة المثبتة مرة واحدة.</x:v>
      </x:c>
    </x:row>
    <x:row r="20" ht="38" customHeight="1">
      <x:c r="A20" s="28" t="str">
        <x:v>C-ALF-0061</x:v>
      </x:c>
      <x:c r="B20" s="28" t="str">
        <x:v>7066</x:v>
      </x:c>
      <x:c r="C20" s="28" t="str">
        <x:v>عوض الكريم عبد المنعم علي سعيد احمد</x:v>
      </x:c>
      <x:c r="D20" s="37" t="n">
        <x:v>48725</x:v>
      </x:c>
      <x:c r="E20" s="37" t="n">
        <x:v>37150</x:v>
      </x:c>
      <x:c r="F20" s="37" t="n">
        <x:v>11575</x:v>
      </x:c>
      <x:c r="G20" s="37" t="n">
        <x:v>0</x:v>
      </x:c>
      <x:c r="H20" s="37" t="n">
        <x:f>MAX(0,D20-F20)</x:f>
        <x:v>37150</x:v>
      </x:c>
      <x:c r="I20" s="28" t="str">
        <x:f>IF(AND(F20&gt;0,G20&gt;0),"تضخيم مؤكد",IF(F20&gt;0,"مستبعد لغياب الدليل","لا يوجد تكرار"))</x:f>
        <x:v>مستبعد لغياب الدليل</x:v>
      </x:c>
      <x:c r="J20" s="28" t="str">
        <x:v>فاتورة مخالفة مستبعدة من الإيجار؛ لا تدخل المطالبة قبل وجود دليل مخالفات.</x:v>
      </x:c>
    </x:row>
    <x:row r="21" ht="38" customHeight="1">
      <x:c r="A21" s="28" t="str">
        <x:v>LTO2024284</x:v>
      </x:c>
      <x:c r="B21" s="28" t="str">
        <x:v>7069</x:v>
      </x:c>
      <x:c r="C21" s="28" t="str">
        <x:v>عصام المزوغي</x:v>
      </x:c>
      <x:c r="D21" s="37" t="n">
        <x:v>6600</x:v>
      </x:c>
      <x:c r="E21" s="37" t="n">
        <x:v>5600</x:v>
      </x:c>
      <x:c r="F21" s="37" t="n">
        <x:v>0</x:v>
      </x:c>
      <x:c r="G21" s="37" t="n">
        <x:v>1000</x:v>
      </x:c>
      <x:c r="H21" s="37" t="n">
        <x:f>MAX(0,D21-F21)</x:f>
        <x:v>6600</x:v>
      </x:c>
      <x:c r="I21" s="28" t="str">
        <x:f>IF(AND(F21&gt;0,G21&gt;0),"تضخيم مؤكد",IF(F21&gt;0,"مستبعد لغياب الدليل","لا يوجد تكرار"))</x:f>
        <x:v>لا يوجد تكرار</x:v>
      </x:c>
      <x:c r="J21" s="28" t="str">
        <x:v>لا يظهر تكرار من فواتير المخالفات.</x:v>
      </x:c>
    </x:row>
    <x:row r="22" ht="38" customHeight="1">
      <x:c r="A22" s="28" t="str">
        <x:v>LTO202418</x:v>
      </x:c>
      <x:c r="B22" s="28" t="str">
        <x:v>7075</x:v>
      </x:c>
      <x:c r="C22" s="28" t="str">
        <x:v>محمد الهيثم الطاهر الهادي محمد</x:v>
      </x:c>
      <x:c r="D22" s="37" t="n">
        <x:v>55700</x:v>
      </x:c>
      <x:c r="E22" s="37" t="n">
        <x:v>44400</x:v>
      </x:c>
      <x:c r="F22" s="37" t="n">
        <x:v>5200</x:v>
      </x:c>
      <x:c r="G22" s="37" t="n">
        <x:v>6100</x:v>
      </x:c>
      <x:c r="H22" s="37" t="n">
        <x:f>MAX(0,D22-F22)</x:f>
        <x:v>50500</x:v>
      </x:c>
      <x:c r="I22" s="28" t="str">
        <x:f>IF(AND(F22&gt;0,G22&gt;0),"تضخيم مؤكد",IF(F22&gt;0,"مستبعد لغياب الدليل","لا يوجد تكرار"))</x:f>
        <x:v>تضخيم مؤكد</x:v>
      </x:c>
      <x:c r="J22" s="28" t="str">
        <x:v>استبعاد فاتورة المخالفة من الإيجار والإبقاء على المخالفة المثبتة مرة واحدة.</x:v>
      </x:c>
    </x:row>
    <x:row r="23" ht="38" customHeight="1">
      <x:c r="A23" s="28" t="str">
        <x:v>C-ALF-0067</x:v>
      </x:c>
      <x:c r="B23" s="28" t="str">
        <x:v>7078</x:v>
      </x:c>
      <x:c r="C23" s="28" t="str">
        <x:v>محمد شريف عمرو عياش</x:v>
      </x:c>
      <x:c r="D23" s="37" t="n">
        <x:v>25200</x:v>
      </x:c>
      <x:c r="E23" s="37" t="n">
        <x:v>16000</x:v>
      </x:c>
      <x:c r="F23" s="37" t="n">
        <x:v>4900</x:v>
      </x:c>
      <x:c r="G23" s="37" t="n">
        <x:v>4300</x:v>
      </x:c>
      <x:c r="H23" s="37" t="n">
        <x:f>MAX(0,D23-F23)</x:f>
        <x:v>20300</x:v>
      </x:c>
      <x:c r="I23" s="28" t="str">
        <x:f>IF(AND(F23&gt;0,G23&gt;0),"تضخيم مؤكد",IF(F23&gt;0,"مستبعد لغياب الدليل","لا يوجد تكرار"))</x:f>
        <x:v>تضخيم مؤكد</x:v>
      </x:c>
      <x:c r="J23" s="28" t="str">
        <x:v>استبعاد فاتورة المخالفة من الإيجار والإبقاء على المخالفة المثبتة مرة واحدة.</x:v>
      </x:c>
    </x:row>
    <x:row r="24" ht="38" customHeight="1">
      <x:c r="A24" s="28" t="str">
        <x:v>C-ALF-0008</x:v>
      </x:c>
      <x:c r="B24" s="28" t="str">
        <x:v>185573</x:v>
      </x:c>
      <x:c r="C24" s="28" t="str">
        <x:v>ايهاب ميرغني عوض الكريم عبد الله</x:v>
      </x:c>
      <x:c r="D24" s="37" t="n">
        <x:v>9900</x:v>
      </x:c>
      <x:c r="E24" s="37" t="n">
        <x:v>9900</x:v>
      </x:c>
      <x:c r="F24" s="37" t="n">
        <x:v>0</x:v>
      </x:c>
      <x:c r="G24" s="37" t="n">
        <x:v>0</x:v>
      </x:c>
      <x:c r="H24" s="37" t="n">
        <x:f>MAX(0,D24-F24)</x:f>
        <x:v>9900</x:v>
      </x:c>
      <x:c r="I24" s="28" t="str">
        <x:f>IF(AND(F24&gt;0,G24&gt;0),"تضخيم مؤكد",IF(F24&gt;0,"مستبعد لغياب الدليل","لا يوجد تكرار"))</x:f>
        <x:v>لا يوجد تكرار</x:v>
      </x:c>
      <x:c r="J24" s="28" t="str">
        <x:v>لا يظهر تكرار من فواتير المخالفات.</x:v>
      </x:c>
    </x:row>
    <x:row r="25" ht="38" customHeight="1">
      <x:c r="A25" s="28" t="str">
        <x:v>C-ALF-0042</x:v>
      </x:c>
      <x:c r="B25" s="28" t="str">
        <x:v>599720</x:v>
      </x:c>
      <x:c r="C25" s="28" t="str">
        <x:v>انور بن علي الذهبي</x:v>
      </x:c>
      <x:c r="D25" s="37" t="n">
        <x:v>4000</x:v>
      </x:c>
      <x:c r="E25" s="37" t="n">
        <x:v>2000</x:v>
      </x:c>
      <x:c r="F25" s="37" t="n">
        <x:v>1000</x:v>
      </x:c>
      <x:c r="G25" s="37" t="n">
        <x:v>1000</x:v>
      </x:c>
      <x:c r="H25" s="37" t="n">
        <x:f>MAX(0,D25-F25)</x:f>
        <x:v>3000</x:v>
      </x:c>
      <x:c r="I25" s="28" t="str">
        <x:f>IF(AND(F25&gt;0,G25&gt;0),"تضخيم مؤكد",IF(F25&gt;0,"مستبعد لغياب الدليل","لا يوجد تكرار"))</x:f>
        <x:v>تضخيم مؤكد</x:v>
      </x:c>
      <x:c r="J25" s="28" t="str">
        <x:v>استبعاد فاتورة المخالفة من الإيجار والإبقاء على المخالفة المثبتة مرة واحدة.</x:v>
      </x:c>
    </x:row>
    <x:row r="26" ht="38" customHeight="1">
      <x:c r="A26" s="28" t="str">
        <x:v>C-ALF-0001</x:v>
      </x:c>
      <x:c r="B26" s="28" t="str">
        <x:v>10172</x:v>
      </x:c>
      <x:c r="C26" s="28" t="str">
        <x:v>أنور محمد إبراهيم محمد</x:v>
      </x:c>
      <x:c r="D26" s="37" t="n">
        <x:v>0</x:v>
      </x:c>
      <x:c r="E26" s="37" t="n">
        <x:v>0</x:v>
      </x:c>
      <x:c r="F26" s="37" t="n">
        <x:v>0</x:v>
      </x:c>
      <x:c r="G26" s="37" t="n">
        <x:v>0</x:v>
      </x:c>
      <x:c r="H26" s="37" t="n">
        <x:f>MAX(0,D26-F26)</x:f>
        <x:v>0</x:v>
      </x:c>
      <x:c r="I26" s="28" t="str">
        <x:f>IF(AND(F26&gt;0,G26&gt;0),"تضخيم مؤكد",IF(F26&gt;0,"مستبعد لغياب الدليل","لا يوجد تكرار"))</x:f>
        <x:v>لا يوجد تكرار</x:v>
      </x:c>
      <x:c r="J26" s="28" t="str">
        <x:v>لا يظهر تكرار من فواتير المخالفات.</x:v>
      </x:c>
    </x:row>
    <x:row r="27" ht="38" customHeight="1">
      <x:c r="A27" s="28" t="str">
        <x:v>LTO2024270</x:v>
      </x:c>
      <x:c r="B27" s="28" t="str">
        <x:v>10197</x:v>
      </x:c>
      <x:c r="C27" s="28" t="str">
        <x:v>احمد الشيخ الصديق هاشم الوسيله</x:v>
      </x:c>
      <x:c r="D27" s="37" t="n">
        <x:v>47750</x:v>
      </x:c>
      <x:c r="E27" s="37" t="n">
        <x:v>8550</x:v>
      </x:c>
      <x:c r="F27" s="37" t="n">
        <x:v>19600</x:v>
      </x:c>
      <x:c r="G27" s="37" t="n">
        <x:v>19600</x:v>
      </x:c>
      <x:c r="H27" s="37" t="n">
        <x:f>MAX(0,D27-F27)</x:f>
        <x:v>28150</x:v>
      </x:c>
      <x:c r="I27" s="28" t="str">
        <x:f>IF(AND(F27&gt;0,G27&gt;0),"تضخيم مؤكد",IF(F27&gt;0,"مستبعد لغياب الدليل","لا يوجد تكرار"))</x:f>
        <x:v>تضخيم مؤكد</x:v>
      </x:c>
      <x:c r="J27" s="28" t="str">
        <x:v>استبعاد فاتورة المخالفة من الإيجار والإبقاء على المخالفة المثبتة مرة واحدة.</x:v>
      </x:c>
    </x:row>
    <x:row r="28" ht="38" customHeight="1">
      <x:c r="A28" s="28" t="str">
        <x:v>AGR-202504-400949</x:v>
      </x:c>
      <x:c r="B28" s="28" t="str">
        <x:v>10668</x:v>
      </x:c>
      <x:c r="C28" s="28" t="str">
        <x:v>عبد المنعم حسن حمدي</x:v>
      </x:c>
      <x:c r="D28" s="37" t="n">
        <x:v>21300</x:v>
      </x:c>
      <x:c r="E28" s="37" t="n">
        <x:v>21300</x:v>
      </x:c>
      <x:c r="F28" s="37" t="n">
        <x:v>0</x:v>
      </x:c>
      <x:c r="G28" s="37" t="n">
        <x:v>0</x:v>
      </x:c>
      <x:c r="H28" s="37" t="n">
        <x:f>MAX(0,D28-F28)</x:f>
        <x:v>21300</x:v>
      </x:c>
      <x:c r="I28" s="28" t="str">
        <x:f>IF(AND(F28&gt;0,G28&gt;0),"تضخيم مؤكد",IF(F28&gt;0,"مستبعد لغياب الدليل","لا يوجد تكرار"))</x:f>
        <x:v>لا يوجد تكرار</x:v>
      </x:c>
      <x:c r="J28" s="28" t="str">
        <x:v>لا يظهر تكرار من فواتير المخالفات.</x:v>
      </x:c>
    </x:row>
    <x:row r="29" ht="38" customHeight="1">
      <x:c r="A29" s="28" t="str">
        <x:v>C-ALF-0099</x:v>
      </x:c>
      <x:c r="B29" s="28" t="str">
        <x:v>10853</x:v>
      </x:c>
      <x:c r="C29" s="28" t="str">
        <x:v>محمد ابراهيم نور غد غول</x:v>
      </x:c>
      <x:c r="D29" s="37" t="n">
        <x:v>16700</x:v>
      </x:c>
      <x:c r="E29" s="37" t="n">
        <x:v>16500</x:v>
      </x:c>
      <x:c r="F29" s="37" t="n">
        <x:v>100</x:v>
      </x:c>
      <x:c r="G29" s="37" t="n">
        <x:v>100</x:v>
      </x:c>
      <x:c r="H29" s="37" t="n">
        <x:f>MAX(0,D29-F29)</x:f>
        <x:v>16600</x:v>
      </x:c>
      <x:c r="I29" s="28" t="str">
        <x:f>IF(AND(F29&gt;0,G29&gt;0),"تضخيم مؤكد",IF(F29&gt;0,"مستبعد لغياب الدليل","لا يوجد تكرار"))</x:f>
        <x:v>تضخيم مؤكد</x:v>
      </x:c>
      <x:c r="J29" s="28" t="str">
        <x:v>استبعاد فاتورة المخالفة من الإيجار والإبقاء على المخالفة المثبتة مرة واحدة.</x:v>
      </x:c>
    </x:row>
    <x:row r="30" ht="38" customHeight="1">
      <x:c r="A30" s="28" t="str">
        <x:v>CON-25-ZV0RA7</x:v>
      </x:c>
      <x:c r="B30" s="28" t="str">
        <x:v>4016</x:v>
      </x:c>
      <x:c r="C30" s="28" t="str">
        <x:v>عبد الرزاق حمد حماد الهنيديس</x:v>
      </x:c>
      <x:c r="D30" s="37" t="n">
        <x:v>9500</x:v>
      </x:c>
      <x:c r="E30" s="37" t="n">
        <x:v>9500</x:v>
      </x:c>
      <x:c r="F30" s="37" t="n">
        <x:v>0</x:v>
      </x:c>
      <x:c r="G30" s="37" t="n">
        <x:v>0</x:v>
      </x:c>
      <x:c r="H30" s="37" t="n">
        <x:f>MAX(0,D30-F30)</x:f>
        <x:v>9500</x:v>
      </x:c>
      <x:c r="I30" s="28" t="str">
        <x:f>IF(AND(F30&gt;0,G30&gt;0),"تضخيم مؤكد",IF(F30&gt;0,"مستبعد لغياب الدليل","لا يوجد تكرار"))</x:f>
        <x:v>لا يوجد تكرار</x:v>
      </x:c>
      <x:c r="J30" s="28" t="str">
        <x:v>لا يظهر تكرار من فواتير المخالفات.</x:v>
      </x:c>
    </x:row>
    <x:row r="31" ht="38" customHeight="1">
      <x:c r="A31" s="28" t="str">
        <x:v>C-ALF-0033</x:v>
      </x:c>
      <x:c r="B31" s="28" t="str">
        <x:v>4018</x:v>
      </x:c>
      <x:c r="C31" s="28" t="str">
        <x:v>عبد الرحيم شاكر احمد محمد</x:v>
      </x:c>
      <x:c r="D31" s="37" t="n">
        <x:v>14040</x:v>
      </x:c>
      <x:c r="E31" s="37" t="n">
        <x:v>13540</x:v>
      </x:c>
      <x:c r="F31" s="37" t="n">
        <x:v>500</x:v>
      </x:c>
      <x:c r="G31" s="37" t="n">
        <x:v>0</x:v>
      </x:c>
      <x:c r="H31" s="37" t="n">
        <x:f>MAX(0,D31-F31)</x:f>
        <x:v>13540</x:v>
      </x:c>
      <x:c r="I31" s="28" t="str">
        <x:f>IF(AND(F31&gt;0,G31&gt;0),"تضخيم مؤكد",IF(F31&gt;0,"مستبعد لغياب الدليل","لا يوجد تكرار"))</x:f>
        <x:v>مستبعد لغياب الدليل</x:v>
      </x:c>
      <x:c r="J31" s="28" t="str">
        <x:v>فاتورة مخالفة مستبعدة من الإيجار؛ لا تدخل المطالبة قبل وجود دليل مخالفات.</x:v>
      </x:c>
    </x:row>
    <x:row r="32" ht="38" customHeight="1">
      <x:c r="A32" s="28" t="str">
        <x:v>LTO2024150</x:v>
      </x:c>
      <x:c r="B32" s="28" t="str">
        <x:v>8204</x:v>
      </x:c>
      <x:c r="C32" s="28" t="str">
        <x:v>الحبيب الحوسين الخليفي</x:v>
      </x:c>
      <x:c r="D32" s="37" t="n">
        <x:v>67095</x:v>
      </x:c>
      <x:c r="E32" s="37" t="n">
        <x:v>45495</x:v>
      </x:c>
      <x:c r="F32" s="37" t="n">
        <x:v>10800</x:v>
      </x:c>
      <x:c r="G32" s="37" t="n">
        <x:v>10800</x:v>
      </x:c>
      <x:c r="H32" s="37" t="n">
        <x:f>MAX(0,D32-F32)</x:f>
        <x:v>56295</x:v>
      </x:c>
      <x:c r="I32" s="28" t="str">
        <x:f>IF(AND(F32&gt;0,G32&gt;0),"تضخيم مؤكد",IF(F32&gt;0,"مستبعد لغياب الدليل","لا يوجد تكرار"))</x:f>
        <x:v>تضخيم مؤكد</x:v>
      </x:c>
      <x:c r="J32" s="28" t="str">
        <x:v>استبعاد فاتورة المخالفة من الإيجار والإبقاء على المخالفة المثبتة مرة واحدة.</x:v>
      </x:c>
    </x:row>
    <x:row r="33" ht="38" customHeight="1">
      <x:c r="A33" s="28" t="str">
        <x:v>C-ALF-0071</x:v>
      </x:c>
      <x:c r="B33" s="28" t="str">
        <x:v>8206</x:v>
      </x:c>
      <x:c r="C33" s="28" t="str">
        <x:v>محمد صالح فرج حامد</x:v>
      </x:c>
      <x:c r="D33" s="37" t="n">
        <x:v>17700</x:v>
      </x:c>
      <x:c r="E33" s="37" t="n">
        <x:v>17700</x:v>
      </x:c>
      <x:c r="F33" s="37" t="n">
        <x:v>0</x:v>
      </x:c>
      <x:c r="G33" s="37" t="n">
        <x:v>0</x:v>
      </x:c>
      <x:c r="H33" s="37" t="n">
        <x:f>MAX(0,D33-F33)</x:f>
        <x:v>17700</x:v>
      </x:c>
      <x:c r="I33" s="28" t="str">
        <x:f>IF(AND(F33&gt;0,G33&gt;0),"تضخيم مؤكد",IF(F33&gt;0,"مستبعد لغياب الدليل","لا يوجد تكرار"))</x:f>
        <x:v>لا يوجد تكرار</x:v>
      </x:c>
      <x:c r="J33" s="28" t="str">
        <x:v>لا يظهر تكرار من فواتير المخالفات.</x:v>
      </x:c>
    </x:row>
  </x:sheetData>
  <x:mergeCells>
    <x:mergeCell ref="A1:J1"/>
    <x:mergeCell ref="A2:J2"/>
  </x:mergeCells>
  <x:conditionalFormatting sqref="I5:I33">
    <x:cfRule type="containsText" dxfId="7" priority="1" operator="containsText" text="تضخيم مؤكد"/>
    <x:cfRule type="containsText" dxfId="8" priority="2" operator="containsText" text="مستبعد"/>
    <x:cfRule type="containsText" dxfId="9" priority="3" operator="containsText" text="لا يوجد"/>
  </x:conditionalFormatting>
  <x:pageMargins left="0.7" right="0.7" top="0.75" bottom="0.75" header="0.3" footer="0.3"/>
  <x:tableParts count="1">
    <x:tablePart xmlns:r="http://schemas.openxmlformats.org/officeDocument/2006/relationships" r:id="Rbca7472d1ccc404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14" hidden="0" customWidth="1"/>
    <x:col min="4" max="4" width="36" hidden="0" customWidth="1"/>
    <x:col min="5" max="5" width="20" hidden="0" customWidth="1"/>
    <x:col min="6" max="6" width="16" hidden="0" customWidth="1"/>
    <x:col min="7" max="7" width="18" hidden="0" customWidth="1"/>
    <x:col min="8" max="8" width="28" hidden="0" customWidth="1"/>
    <x:col min="9" max="9" width="46" hidden="0" customWidth="1"/>
  </x:cols>
  <x:sheetData>
    <x:row r="1" ht="34" customHeight="1">
      <x:c r="A1" s="4" t="str">
        <x:v>المصادر والضوابط</x:v>
      </x:c>
      <x:c r="B1" s="4"/>
      <x:c r="C1" s="4"/>
      <x:c r="D1" s="4"/>
      <x:c r="E1" s="4"/>
      <x:c r="F1" s="4"/>
      <x:c r="G1" s="4"/>
      <x:c r="H1" s="4"/>
      <x:c r="I1" s="4"/>
    </x:row>
    <x:row r="2" ht="32" customHeight="1">
      <x:c r="A2" s="9" t="str">
        <x:v>سجل مصادر التقرير وتعريفات الاستخدام. لا يُعد ملف أغسطس دليلاً على السداد ولا عقداً موقعاً.</x:v>
      </x:c>
      <x:c r="B2" s="9"/>
      <x:c r="C2" s="9"/>
      <x:c r="D2" s="9"/>
      <x:c r="E2" s="9"/>
      <x:c r="F2" s="9"/>
      <x:c r="G2" s="9"/>
      <x:c r="H2" s="9"/>
      <x:c r="I2" s="9"/>
    </x:row>
    <x:row r="4" ht="34" customHeight="1">
      <x:c r="A4" s="18" t="str">
        <x:v>المصدر</x:v>
      </x:c>
      <x:c r="B4" s="84" t="str">
        <x:v>النوع</x:v>
      </x:c>
      <x:c r="C4" s="84" t="str">
        <x:v>الفترة/التاريخ</x:v>
      </x:c>
      <x:c r="D4" s="84" t="str">
        <x:v>الغرض</x:v>
      </x:c>
      <x:c r="E4" s="84" t="str">
        <x:v>الأولوية</x:v>
      </x:c>
      <x:c r="F4" s="84" t="str">
        <x:v>المالك</x:v>
      </x:c>
      <x:c r="G4" s="84" t="str">
        <x:v>الحالة</x:v>
      </x:c>
      <x:c r="H4" s="84" t="str">
        <x:v>مرجع</x:v>
      </x:c>
      <x:c r="I4" s="19" t="str">
        <x:v>ملاحظات</x:v>
      </x:c>
    </x:row>
    <x:row r="5" ht="38" customHeight="1">
      <x:c r="A5" s="27" t="str">
        <x:v>دفعات-شهر-8-أغسطس-2026.xlsx</x:v>
      </x:c>
      <x:c r="B5" s="27" t="str">
        <x:v>Excel / ملف تشغيلي</x:v>
      </x:c>
      <x:c r="C5" s="29" t="n">
        <x:v>46265</x:v>
      </x:c>
      <x:c r="D5" s="27" t="str">
        <x:v>الحيازة التشغيلية وأسماء المستأجرين واللوحات</x:v>
      </x:c>
      <x:c r="E5" s="27" t="str">
        <x:v>الأحدث تشغيلياً</x:v>
      </x:c>
      <x:c r="F5" s="27" t="str">
        <x:v>الإدارة</x:v>
      </x:c>
      <x:c r="G5" s="27" t="str">
        <x:v>مستخدم</x:v>
      </x:c>
      <x:c r="H5" s="27" t="str">
        <x:v>ورقة المستأجرون</x:v>
      </x:c>
      <x:c r="I5" s="27" t="str">
        <x:v>لا يثبت السداد أو صحة المطالبة وحده.</x:v>
      </x:c>
    </x:row>
    <x:row r="6" ht="38" customHeight="1">
      <x:c r="A6" s="28" t="str">
        <x:v>Supabase / contracts</x:v>
      </x:c>
      <x:c r="B6" s="28" t="str">
        <x:v>قاعدة بيانات إنتاج</x:v>
      </x:c>
      <x:c r="C6" s="85" t="n">
        <x:v>46265</x:v>
      </x:c>
      <x:c r="D6" s="28" t="str">
        <x:v>حالة العقد وربط العميل والمركبة</x:v>
      </x:c>
      <x:c r="E6" s="28" t="str">
        <x:v>مصدر النظام</x:v>
      </x:c>
      <x:c r="F6" s="28" t="str">
        <x:v>Fleetify</x:v>
      </x:c>
      <x:c r="G6" s="28" t="str">
        <x:v>قراءة فقط</x:v>
      </x:c>
      <x:c r="H6" s="28" t="str">
        <x:v>354 عقداً مقروءاً</x:v>
      </x:c>
      <x:c r="I6" s="28" t="str">
        <x:v>يشمل حالات سارية وقانونية وملغاة ومنتهية.</x:v>
      </x:c>
    </x:row>
    <x:row r="7" ht="38" customHeight="1">
      <x:c r="A7" s="28" t="str">
        <x:v>Supabase / payments</x:v>
      </x:c>
      <x:c r="B7" s="28" t="str">
        <x:v>قاعدة بيانات إنتاج</x:v>
      </x:c>
      <x:c r="C7" s="85" t="n">
        <x:v>46265</x:v>
      </x:c>
      <x:c r="D7" s="28" t="str">
        <x:v>الدفعات المكتملة المرتبطة بالعقود</x:v>
      </x:c>
      <x:c r="E7" s="28" t="str">
        <x:v>مالي</x:v>
      </x:c>
      <x:c r="F7" s="28" t="str">
        <x:v>Fleetify</x:v>
      </x:c>
      <x:c r="G7" s="28" t="str">
        <x:v>قراءة فقط</x:v>
      </x:c>
      <x:c r="H7" s="28" t="str">
        <x:v>3,056 دفعة مرتبطة</x:v>
      </x:c>
      <x:c r="I7" s="28" t="str">
        <x:v>لا تُعتمد دفعة غير مكتملة.</x:v>
      </x:c>
    </x:row>
    <x:row r="8" ht="38" customHeight="1">
      <x:c r="A8" s="28" t="str">
        <x:v>Supabase / invoices</x:v>
      </x:c>
      <x:c r="B8" s="28" t="str">
        <x:v>قاعدة بيانات إنتاج</x:v>
      </x:c>
      <x:c r="C8" s="85" t="n">
        <x:v>46265</x:v>
      </x:c>
      <x:c r="D8" s="28" t="str">
        <x:v>الاستحقاق حتى أغسطس وفصل المستقبل</x:v>
      </x:c>
      <x:c r="E8" s="28" t="str">
        <x:v>مالي</x:v>
      </x:c>
      <x:c r="F8" s="28" t="str">
        <x:v>Fleetify</x:v>
      </x:c>
      <x:c r="G8" s="28" t="str">
        <x:v>قراءة فقط</x:v>
      </x:c>
      <x:c r="H8" s="28" t="str">
        <x:v>6,527 فاتورة مرتبطة</x:v>
      </x:c>
      <x:c r="I8" s="28" t="str">
        <x:v>الأقساط بعد 2026-08-01 مستقبلية وليست متأخرة.</x:v>
      </x:c>
    </x:row>
    <x:row r="9" ht="38" customHeight="1">
      <x:c r="A9" s="28" t="str">
        <x:v>Supabase / penalties</x:v>
      </x:c>
      <x:c r="B9" s="28" t="str">
        <x:v>قاعدة بيانات إنتاج</x:v>
      </x:c>
      <x:c r="C9" s="85" t="n">
        <x:v>46265</x:v>
      </x:c>
      <x:c r="D9" s="28" t="str">
        <x:v>المخالفات المرتبطة بالعقد وفترة العهدة</x:v>
      </x:c>
      <x:c r="E9" s="28" t="str">
        <x:v>قانوني/مالي</x:v>
      </x:c>
      <x:c r="F9" s="28" t="str">
        <x:v>Fleetify</x:v>
      </x:c>
      <x:c r="G9" s="28" t="str">
        <x:v>قراءة فقط</x:v>
      </x:c>
      <x:c r="H9" s="28" t="str">
        <x:v>1,482 مخالفة مرتبطة</x:v>
      </x:c>
      <x:c r="I9" s="28" t="str">
        <x:v>تحتاج إثبات التاريخ والعهدة قبل الدعوى.</x:v>
      </x:c>
    </x:row>
    <x:row r="10" ht="38" customHeight="1">
      <x:c r="A10" s="28" t="str">
        <x:v>عقود-ال79-نفس-المركبة.xlsx</x:v>
      </x:c>
      <x:c r="B10" s="28" t="str">
        <x:v>Excel / قرار مراجعة</x:v>
      </x:c>
      <x:c r="C10" s="85" t="n">
        <x:v>46264</x:v>
      </x:c>
      <x:c r="D10" s="28" t="str">
        <x:v>اعتماد أسماء وارتباطات تمت مراجعتها</x:v>
      </x:c>
      <x:c r="E10" s="28" t="str">
        <x:v>مرجع مساعد</x:v>
      </x:c>
      <x:c r="F10" s="28" t="str">
        <x:v>الإدارة</x:v>
      </x:c>
      <x:c r="G10" s="28" t="str">
        <x:v>مستخدم</x:v>
      </x:c>
      <x:c r="H10" s="28" t="str">
        <x:v>78 اعتماد + 1 رفض</x:v>
      </x:c>
      <x:c r="I10" s="28" t="str">
        <x:v>يظل تاريخ العقد والفوترة بحاجة لمطابقة الإنتاج.</x:v>
      </x:c>
    </x:row>
    <x:row r="11" ht="38" customHeight="1">
      <x:c r="A11" s="28" t="str">
        <x:v>معتمدون-ملفات-موقعة.xlsx</x:v>
      </x:c>
      <x:c r="B11" s="28" t="str">
        <x:v>Excel / أدلة</x:v>
      </x:c>
      <x:c r="C11" s="85" t="n">
        <x:v>46264</x:v>
      </x:c>
      <x:c r="D11" s="28" t="str">
        <x:v>مطابقة الاسم والهوية واللوحة في الملفات الموقعة</x:v>
      </x:c>
      <x:c r="E11" s="28" t="str">
        <x:v>دليل تعاقدي مساعد</x:v>
      </x:c>
      <x:c r="F11" s="28" t="str">
        <x:v>الإدارة</x:v>
      </x:c>
      <x:c r="G11" s="28" t="str">
        <x:v>مستخدم</x:v>
      </x:c>
      <x:c r="H11" s="28" t="str">
        <x:v>المعتمدون والعقود السابقة</x:v>
      </x:c>
      <x:c r="I11" s="28" t="str">
        <x:v>الملف الموقع أقوى من التشابه الاسمي.</x:v>
      </x:c>
    </x:row>
    <x:row r="12" ht="38" customHeight="1"/>
    <x:row r="13" ht="38" customHeight="1"/>
    <x:row r="14" ht="38" customHeight="1">
      <x:c r="A14" s="18" t="str">
        <x:v>الضابط</x:v>
      </x:c>
      <x:c r="B14" s="84" t="str">
        <x:v>التعريف</x:v>
      </x:c>
      <x:c r="C14" s="84" t="str">
        <x:v>حالة الاعتماد</x:v>
      </x:c>
      <x:c r="D14" s="19" t="str">
        <x:v>أثره</x:v>
      </x:c>
    </x:row>
    <x:row r="15" ht="38" customHeight="1">
      <x:c r="A15" s="27" t="str">
        <x:v>مرجع الحيازة</x:v>
      </x:c>
      <x:c r="B15" s="27" t="str">
        <x:v>ملف أغسطس يحدد من كانت المركبة بعهدته تشغيلياً.</x:v>
      </x:c>
      <x:c r="C15" s="27" t="str">
        <x:v>معتمد كمصدر أحدث</x:v>
      </x:c>
      <x:c r="D15" s="27" t="str">
        <x:v>يحدد التعارض ولا ينشئ عقداً وحده.</x:v>
      </x:c>
    </x:row>
    <x:row r="16" ht="38" customHeight="1">
      <x:c r="A16" s="28" t="str">
        <x:v>قطع العقد القديم</x:v>
      </x:c>
      <x:c r="B16" s="28" t="str">
        <x:v>الإلغاء/إنهاء العهدة نافذ عند بداية العقد الجديد، والفوترة القديمة تتوقف قبلها.</x:v>
      </x:c>
      <x:c r="C16" s="28" t="str">
        <x:v>بانتظار اعتماد الإدارة</x:v>
      </x:c>
      <x:c r="D16" s="28" t="str">
        <x:v>يمنع تداخل الإيجار على مركبة واحدة.</x:v>
      </x:c>
    </x:row>
    <x:row r="17" ht="38" customHeight="1">
      <x:c r="A17" s="28" t="str">
        <x:v>المطالبة القانونية</x:v>
      </x:c>
      <x:c r="B17" s="28" t="str">
        <x:v>إيجار مستحق حتى القطع + مخالفات مثبتة خلال العهدة.</x:v>
      </x:c>
      <x:c r="C17" s="28" t="str">
        <x:v>بانتظار اعتماد الإدارة</x:v>
      </x:c>
      <x:c r="D17" s="28" t="str">
        <x:v>يستبعد الأقساط المستقبلية.</x:v>
      </x:c>
    </x:row>
    <x:row r="18" ht="38" customHeight="1">
      <x:c r="A18" s="28" t="str">
        <x:v>تطبيع الاسم</x:v>
      </x:c>
      <x:c r="B18" s="28" t="str">
        <x:v>توحيد أخطاء الهمزات والياء والتشكيل مع إبقاء الهوية كسجل حاكم.</x:v>
      </x:c>
      <x:c r="C18" s="28" t="str">
        <x:v>مقترح</x:v>
      </x:c>
      <x:c r="D18" s="28" t="str">
        <x:v>يقلل التكرار دون دمج خاطئ.</x:v>
      </x:c>
    </x:row>
    <x:row r="19" ht="38" customHeight="1">
      <x:c r="A19" s="28" t="str">
        <x:v>الملف الموقّع</x:v>
      </x:c>
      <x:c r="B19" s="28" t="str">
        <x:v>هوية + اسم + لوحة/مركبة هي الدليل الأقوى عند التعارض.</x:v>
      </x:c>
      <x:c r="C19" s="28" t="str">
        <x:v>مطلوب للحالات المتعارضة</x:v>
      </x:c>
      <x:c r="D19" s="28" t="str">
        <x:v>يمنع تحويل مطالبة لشخص غير صحيح.</x:v>
      </x:c>
    </x:row>
  </x:sheetData>
  <x:mergeCells>
    <x:mergeCell ref="A1:I1"/>
    <x:mergeCell ref="A2:I2"/>
  </x:mergeCells>
  <x:conditionalFormatting sqref="C15:C19">
    <x:cfRule type="containsText" dxfId="10" priority="1" operator="containsText" text="بانتظار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4" hidden="0" customWidth="1"/>
    <x:col min="4" max="4" width="28" hidden="0" customWidth="1"/>
    <x:col min="5" max="5" width="48" hidden="0" customWidth="1"/>
  </x:cols>
  <x:sheetData>
    <x:row r="1" ht="34" customHeight="1">
      <x:c r="A1" s="4" t="str">
        <x:v>فحوص اتزان التقرير</x:v>
      </x:c>
      <x:c r="B1" s="4"/>
      <x:c r="C1" s="4"/>
      <x:c r="D1" s="4"/>
      <x:c r="E1" s="4"/>
    </x:row>
    <x:row r="2" ht="32" customHeight="1">
      <x:c r="A2" s="9" t="str">
        <x:v>حالة REVIEW تعني وجود حالات بيانات أو سياسة تنتظر قراراً؛ لا تعني خطأ في صيغ الملف.</x:v>
      </x:c>
      <x:c r="B2" s="9"/>
      <x:c r="C2" s="9"/>
      <x:c r="D2" s="9"/>
      <x:c r="E2" s="9"/>
    </x:row>
    <x:row r="4" ht="34" customHeight="1">
      <x:c r="A4" s="18" t="str">
        <x:v>الفحص</x:v>
      </x:c>
      <x:c r="B4" s="84" t="str">
        <x:v>النتيجة</x:v>
      </x:c>
      <x:c r="C4" s="84" t="str">
        <x:v>الحالة</x:v>
      </x:c>
      <x:c r="D4" s="84" t="str">
        <x:v>مكان الإصلاح</x:v>
      </x:c>
      <x:c r="E4" s="19" t="str">
        <x:v>ملاحظة</x:v>
      </x:c>
    </x:row>
    <x:row r="5" ht="32" customHeight="1">
      <x:c r="A5" s="27" t="str">
        <x:v>عدد صفوف أغسطس = 89</x:v>
      </x:c>
      <x:c r="B5" s="79" t="n">
        <x:f>COUNTA('تسوية الـ89'!$A$5:$A$93)</x:f>
        <x:v>89</x:v>
      </x:c>
      <x:c r="C5" s="27" t="str">
        <x:f>IF(B5=89,"PASS","FAIL")</x:f>
        <x:v>PASS</x:v>
      </x:c>
      <x:c r="D5" s="27" t="str">
        <x:v>تسوية الـ89</x:v>
      </x:c>
      <x:c r="E5" s="27" t="str">
        <x:v>يجب أن يطابق ورقة المستأجرون.</x:v>
      </x:c>
    </x:row>
    <x:row r="6" ht="32" customHeight="1">
      <x:c r="A6" s="28" t="str">
        <x:v>مجموع التصنيفات = 89</x:v>
      </x:c>
      <x:c r="B6" s="38" t="n">
        <x:f>SUM('الملخص'!$B$10:$B$15)</x:f>
        <x:v>89</x:v>
      </x:c>
      <x:c r="C6" s="28" t="str">
        <x:f>IF(B6=89,"PASS","FAIL")</x:f>
        <x:v>PASS</x:v>
      </x:c>
      <x:c r="D6" s="28" t="str">
        <x:v>الملخص</x:v>
      </x:c>
      <x:c r="E6" s="28" t="str">
        <x:v>فحص عدم سقوط أي مركبة.</x:v>
      </x:c>
    </x:row>
    <x:row r="7" ht="32" customHeight="1">
      <x:c r="A7" s="28" t="str">
        <x:v>حالات بلا عميل في النظام</x:v>
      </x:c>
      <x:c r="B7" s="38" t="n">
        <x:f>COUNTIF('ضبط الأسماء'!$I$5:$I$93,"غير موجود")</x:f>
        <x:v>12</x:v>
      </x:c>
      <x:c r="C7" s="28" t="str">
        <x:f>IF(B7=0,"PASS","REVIEW")</x:f>
        <x:v>REVIEW</x:v>
      </x:c>
      <x:c r="D7" s="28" t="str">
        <x:v>ضبط الأسماء</x:v>
      </x:c>
      <x:c r="E7" s="28" t="str">
        <x:v>تحتاج إنشاء/ربط عميل بعد الهوية.</x:v>
      </x:c>
    </x:row>
    <x:row r="8" ht="32" customHeight="1">
      <x:c r="A8" s="28" t="str">
        <x:v>حالات عقد باسم عميل آخر</x:v>
      </x:c>
      <x:c r="B8" s="38" t="n">
        <x:f>COUNTIF('تسوية الـ89'!$F$5:$F$93,"عقد باسم عميل آخر")</x:f>
        <x:v>10</x:v>
      </x:c>
      <x:c r="C8" s="28" t="str">
        <x:f>IF(B8=0,"PASS","REVIEW")</x:f>
        <x:v>REVIEW</x:v>
      </x:c>
      <x:c r="D8" s="28" t="str">
        <x:v>تسوية الـ89</x:v>
      </x:c>
      <x:c r="E8" s="28" t="str">
        <x:v>تحتاج قطع عهدة ومراجعة قانونية.</x:v>
      </x:c>
    </x:row>
    <x:row r="9" ht="32" customHeight="1">
      <x:c r="A9" s="28" t="str">
        <x:v>حالات فجوة فوترة</x:v>
      </x:c>
      <x:c r="B9" s="38" t="n">
        <x:f>COUNTIF('التعارضات المالية'!$X$5:$X$42,"نعم")</x:f>
        <x:v>1</x:v>
      </x:c>
      <x:c r="C9" s="28" t="str">
        <x:f>IF(B9=0,"PASS","REVIEW")</x:f>
        <x:v>REVIEW</x:v>
      </x:c>
      <x:c r="D9" s="28" t="str">
        <x:v>التعارضات المالية</x:v>
      </x:c>
      <x:c r="E9" s="28" t="str">
        <x:v>لا تعتمد قيمة الرصيد الكامل كمتأخر.</x:v>
      </x:c>
    </x:row>
    <x:row r="10" ht="32" customHeight="1">
      <x:c r="A10" s="28" t="str">
        <x:v>قضايا أعلى من الأساس المقترح</x:v>
      </x:c>
      <x:c r="B10" s="38" t="n">
        <x:f>COUNTIF('التعارضات المالية'!$V$5:$V$42,"&gt;0")</x:f>
        <x:v>19</x:v>
      </x:c>
      <x:c r="C10" s="28" t="str">
        <x:f>IF(B10=0,"PASS","REVIEW")</x:f>
        <x:v>REVIEW</x:v>
      </x:c>
      <x:c r="D10" s="28" t="str">
        <x:v>التعارضات المالية</x:v>
      </x:c>
      <x:c r="E10" s="28" t="str">
        <x:v>فرق مبدئي يحتاج مراجعة محاسب/قانوني.</x:v>
      </x:c>
    </x:row>
    <x:row r="11" ht="32" customHeight="1">
      <x:c r="A11" s="28" t="str">
        <x:v>اعتماد قاعدة القطع</x:v>
      </x:c>
      <x:c r="B11" s="28" t="str">
        <x:v>بانتظار</x:v>
      </x:c>
      <x:c r="C11" s="28" t="str">
        <x:v>REVIEW</x:v>
      </x:c>
      <x:c r="D11" s="28" t="str">
        <x:v>المصادر والضوابط</x:v>
      </x:c>
      <x:c r="E11" s="28" t="str">
        <x:v>لا تنفيذ قبل موافقة الإدارة.</x:v>
      </x:c>
    </x:row>
    <x:row r="13">
      <x:c r="A13" s="93" t="str">
        <x:v>MODEL STATUS: REVIEW — التقرير متزن، لكن تنفيذ قاعدة القطع والمطالبات ينتظر اعتماد الإدارة ومراجعة الأدلة للحالات المتعارضة.</x:v>
      </x:c>
      <x:c r="B13" s="94"/>
      <x:c r="C13" s="94"/>
      <x:c r="D13" s="94"/>
      <x:c r="E13" s="95"/>
    </x:row>
  </x:sheetData>
  <x:mergeCells>
    <x:mergeCell ref="A1:E1"/>
    <x:mergeCell ref="A2:E2"/>
    <x:mergeCell ref="A13:E13"/>
  </x:mergeCells>
  <x:conditionalFormatting sqref="C5:C11">
    <x:cfRule type="containsText" dxfId="11" priority="1" operator="containsText" text="PASS"/>
    <x:cfRule type="containsText" dxfId="12" priority="2" operator="containsText" text="REVIEW"/>
    <x:cfRule type="containsText" dxfId="13" priority="3" operator="containsText" text="FAIL"/>
  </x:conditionalFormatting>
  <x:pageMargins left="0.7" right="0.7" top="0.75" bottom="0.75" header="0.3" footer="0.3"/>
</x:worksheet>
</file>