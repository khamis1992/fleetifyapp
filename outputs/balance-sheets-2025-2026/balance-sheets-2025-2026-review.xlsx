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الملف" sheetId="1" state="visible" r:id="rId1"/>
    <sheet xmlns:r="http://schemas.openxmlformats.org/officeDocument/2006/relationships" name="أرصدة 2025" sheetId="2" state="visible" r:id="rId2"/>
    <sheet xmlns:r="http://schemas.openxmlformats.org/officeDocument/2006/relationships" name="المركز 2025" sheetId="3" state="visible" r:id="rId3"/>
    <sheet xmlns:r="http://schemas.openxmlformats.org/officeDocument/2006/relationships" name="أرصدة 2026 أغسطس" sheetId="4" state="visible" r:id="rId4"/>
    <sheet xmlns:r="http://schemas.openxmlformats.org/officeDocument/2006/relationships" name="المركز 2026 أغسطس" sheetId="5" state="visible" r:id="rId5"/>
    <sheet xmlns:r="http://schemas.openxmlformats.org/officeDocument/2006/relationships" name="ملاحظات المراجعة" sheetId="6" state="visible" r:id="rId6"/>
    <sheet xmlns:r="http://schemas.openxmlformats.org/officeDocument/2006/relationships" name="ملخص القيم عند الاستخراج" sheetId="7" state="visible" r:id="rId7"/>
  </sheets>
  <definedNames>
    <definedName name="_xlnm.Print_Titles" localSheetId="0">'دليل الملف'!$1:$1</definedName>
    <definedName name="_xlnm._FilterDatabase" localSheetId="1" hidden="1">'أرصدة 2025'!$A$1:$I$14</definedName>
    <definedName name="_xlnm.Print_Titles" localSheetId="1">'أرصدة 2025'!$1:$1</definedName>
    <definedName name="_xlnm.Print_Titles" localSheetId="2">'المركز 2025'!$1:$1</definedName>
    <definedName name="_xlnm._FilterDatabase" localSheetId="3" hidden="1">'أرصدة 2026 أغسطس'!$A$1:$I$17</definedName>
    <definedName name="_xlnm.Print_Titles" localSheetId="3">'أرصدة 2026 أغسطس'!$1:$1</definedName>
    <definedName name="_xlnm.Print_Titles" localSheetId="4">'المركز 2026 أغسطس'!$1:$1</definedName>
    <definedName name="_xlnm.Print_Titles" localSheetId="5">'ملاحظات المراجعة'!$1:$1</definedName>
    <definedName name="_xlnm.Print_Titles" localSheetId="6">'ملخص القيم عند الاستخراج'!$1:$1</definedName>
  </definedNames>
  <calcPr calcId="124519" fullCalcOnLoad="1" forceFullCalc="1"/>
</workbook>
</file>

<file path=xl/styles.xml><?xml version="1.0" encoding="utf-8"?>
<styleSheet xmlns="http://schemas.openxmlformats.org/spreadsheetml/2006/main">
  <numFmts count="1">
    <numFmt numFmtId="164" formatCode="#,##0.00;(#,##0.00);0.00"/>
  </numFmts>
  <fonts count="4">
    <font>
      <name val="Calibri"/>
      <family val="2"/>
      <color theme="1"/>
      <sz val="11"/>
      <scheme val="minor"/>
    </font>
    <font>
      <name val="Arial"/>
      <color rgb="0017202A"/>
      <sz val="11"/>
    </font>
    <font>
      <name val="Arial"/>
      <b val="1"/>
      <color rgb="00FFFFFF"/>
      <sz val="12"/>
    </font>
    <font>
      <name val="Arial"/>
      <b val="1"/>
      <color rgb="0017202A"/>
      <sz val="11"/>
    </font>
  </fonts>
  <fills count="4">
    <fill>
      <patternFill/>
    </fill>
    <fill>
      <patternFill patternType="gray125"/>
    </fill>
    <fill>
      <patternFill patternType="solid">
        <fgColor rgb="00233C54"/>
      </patternFill>
    </fill>
    <fill>
      <patternFill patternType="solid">
        <fgColor rgb="00EAF0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right" vertical="center" wrapText="1"/>
    </xf>
    <xf numFmtId="0" fontId="1" fillId="0" borderId="1" applyAlignment="1" pivotButton="0" quotePrefix="0" xfId="0">
      <alignment horizontal="right" vertical="center" wrapText="1"/>
    </xf>
    <xf numFmtId="164" fontId="1" fillId="0" borderId="1" applyAlignment="1" pivotButton="0" quotePrefix="0" xfId="0">
      <alignment horizontal="right" vertical="center" wrapText="1"/>
    </xf>
    <xf numFmtId="1" fontId="1" fillId="0" borderId="1" applyAlignment="1" pivotButton="0" quotePrefix="0" xfId="0">
      <alignment horizontal="right" vertical="center" wrapText="1"/>
    </xf>
    <xf numFmtId="0" fontId="3" fillId="3" borderId="1" applyAlignment="1" pivotButton="0" quotePrefix="0" xfId="0">
      <alignment horizontal="right" vertical="center" wrapText="1"/>
    </xf>
    <xf numFmtId="164" fontId="3" fillId="3"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ns0:worksheet xmlns:ns0="http://schemas.openxmlformats.org/spreadsheetml/2006/main">
  <ns0:sheetPr>
    <ns0:outlinePr summaryBelow="1" summaryRight="1"/>
    <ns0:pageSetUpPr fitToPage="1"/>
  </ns0:sheetPr>
  <ns0:dimension ref="A1:B11"/>
  <ns0:sheetViews>
    <ns0:sheetView showGridLines="0" rightToLeft="1" workbookViewId="0">
      <ns0:pane xSplit="1" ySplit="1" topLeftCell="B2" activePane="bottomRight" state="frozen"/>
      <ns0:selection pane="topRight"/>
      <ns0:selection pane="bottomLeft"/>
      <ns0:selection pane="bottomRight" activeCell="A1" sqref="A1"/>
    </ns0:sheetView>
  </ns0:sheetViews>
  <ns0:sheetFormatPr baseColWidth="8" defaultRowHeight="15"/>
  <ns0:cols>
    <ns0:col width="31" customWidth="1" min="1" max="1"/>
    <ns0:col width="112" customWidth="1" min="2" max="2"/>
  </ns0:cols>
  <ns0:sheetData>
    <ns0:row r="1" ht="27" customHeight="1">
      <ns0:c r="A1" s="1" t="inlineStr">
        <ns0:is>
          <ns0:t>مسودتا قائمة المركز المالي لشركة العراف</ns0:t>
        </ns0:is>
      </ns0:c>
      <ns0:c r="B1" s="1" t="n"/>
    </ns0:row>
    <ns0:row r="2" ht="36" customHeight="1">
      <ns0:c r="A2" s="2" t="inlineStr">
        <ns0:is>
          <ns0:t>التواريخ</ns0:t>
        </ns0:is>
      </ns0:c>
      <ns0:c r="B2" s="2" t="inlineStr">
        <ns0:is>
          <ns0:t>2025-12-31 و2026-08-31</ns0:t>
        </ns0:is>
      </ns0:c>
    </ns0:row>
    <ns0:row r="3" ht="36" customHeight="1">
      <ns0:c r="A3" s="2" t="inlineStr">
        <ns0:is>
          <ns0:t>الحالة</ns0:t>
        </ns0:is>
      </ns0:c>
      <ns0:c r="B3" s="2" t="inlineStr">
        <ns0:is>
          <ns0:t>للمراجعة فقط؛ غير مدققة وغير معتمدة</ns0:t>
        </ns0:is>
      </ns0:c>
    </ns0:row>
    <ns0:row r="4" ht="36" customHeight="1">
      <ns0:c r="A4" s="2" t="inlineStr">
        <ns0:is>
          <ns0:t>العملة</ns0:t>
        </ns0:is>
      </ns0:c>
      <ns0:c r="B4" s="2" t="inlineStr">
        <ns0:is>
          <ns0:t>QAR — ريال قطري</ns0:t>
        </ns0:is>
      </ns0:c>
    </ns0:row>
    <ns0:row r="5" ht="36" customHeight="1">
      <ns0:c r="A5" s="2" t="inlineStr">
        <ns0:is>
          <ns0:t>المصدر</ns0:t>
        </ns0:is>
      </ns0:c>
      <ns0:c r="B5" s="2" t="inlineStr">
        <ns0:is>
          <ns0:t>القيود المرحلة لكل تاريخ؛ دون جمع الرصيد المخزن مرة ثانية</ns0:t>
        </ns0:is>
      </ns0:c>
    </ns0:row>
    <ns0:row r="6" ht="36" customHeight="1">
      <ns0:c r="A6" s="2" t="inlineStr">
        <ns0:is>
          <ns0:t>النتيجة غير المقفلة</ns0:t>
        </ns0:is>
      </ns0:c>
      <ns0:c r="B6" s="2" t="inlineStr">
        <ns0:is>
          <ns0:t>رصيد الإيرادات ناقص رصيد المصروفات، وليس بالضرورة ربح السنة</ns0:t>
        </ns0:is>
      </ns0:c>
    </ns0:row>
    <ns0:row r="7" ht="36" customHeight="1">
      <ns0:c r="A7" s="2" t="inlineStr">
        <ns0:is>
          <ns0:t>العلامات</ns0:t>
        </ns0:is>
      </ns0:c>
      <ns0:c r="B7" s="2" t="inlineStr">
        <ns0:is>
          <ns0:t>الرصيد العادي سالب عند وجود رصيد عكسي؛ المبالغ السالبة بين قوسين</ns0:t>
        </ns0:is>
      </ns0:c>
    </ns0:row>
    <ns0:row r="8" ht="36" customHeight="1">
      <ns0:c r="A8" s="2" t="inlineStr">
        <ns0:is>
          <ns0:t>اكتمال البيانات</ns0:t>
        </ns0:is>
      </ns0:c>
      <ns0:c r="B8" s="2" t="inlineStr">
        <ns0:is>
          <ns0:t>لا تظهر أرصدة مرحلة للسيارات والإهلاك ورأس المال؛ يلزم استكمال المراجعة</ns0:t>
        </ns0:is>
      </ns0:c>
    </ns0:row>
    <ns0:row r="9" ht="36" customHeight="1">
      <ns0:c r="A9" s="2" t="inlineStr">
        <ns0:is>
          <ns0:t>تاريخ الاستخراج UTC</ns0:t>
        </ns0:is>
      </ns0:c>
      <ns0:c r="B9" s="2" t="inlineStr">
        <ns0:is>
          <ns0:t>2026-09-17T21:36:31.586095+00:00</ns0:t>
        </ns0:is>
      </ns0:c>
    </ns0:row>
    <ns0:row r="10" ht="36" customHeight="1">
      <ns0:c r="A10" s="2" t="inlineStr">
        <ns0:is>
          <ns0:t>SHA256</ns0:t>
        </ns0:is>
      </ns0:c>
      <ns0:c r="B10" s="2" t="inlineStr">
        <ns0:is>
          <ns0:t>ad92b1f42822fcf07bcb1c425402b16d4a75d7dd2daa8e89eb3f905d4cb152eb</ns0:t>
        </ns0:is>
      </ns0:c>
    </ns0:row>
    <ns0:row r="11" ht="36" customHeight="1">
      <ns0:c r="A11" s="2" t="inlineStr">
        <ns0:is>
          <ns0:t>تنبيه</ns0:t>
        </ns0:is>
      </ns0:c>
      <ns0:c r="B11" s="2" t="inlineStr">
        <ns0:is>
          <ns0:t>توازن الأرقام لا يثبت اكتمال الميزانية؛ راجع ورقة الملاحظات</ns0:t>
        </ns0:is>
      </ns0:c>
    </ns0:row>
  </ns0:sheetData>
  <ns0:pageMargins left="0.75" right="0.75" top="1" bottom="1" header="0.5" footer="0.5"/>
  <ns0:pageSetup orientation="portrait" paperSize="9" fitToHeight="0" fitToWidth="1"/>
</ns0:worksheet>
</file>

<file path=xl/worksheets/sheet2.xml><?xml version="1.0" encoding="utf-8"?>
<ns0:worksheet xmlns:ns0="http://schemas.openxmlformats.org/spreadsheetml/2006/main">
  <ns0:sheetPr>
    <ns0:outlinePr summaryBelow="1" summaryRight="1"/>
    <ns0:pageSetUpPr fitToPage="1"/>
  </ns0:sheetPr>
  <ns0:dimension ref="A1:I15"/>
  <ns0:sheetViews>
    <ns0:sheetView showGridLines="0" rightToLeft="1" workbookViewId="0">
      <ns0:pane xSplit="3" ySplit="1" topLeftCell="D2" activePane="bottomRight" state="frozen"/>
      <ns0:selection pane="topRight"/>
      <ns0:selection pane="bottomLeft"/>
      <ns0:selection pane="bottomRight" activeCell="A1" sqref="A1"/>
    </ns0:sheetView>
  </ns0:sheetViews>
  <ns0:sheetFormatPr baseColWidth="8" defaultRowHeight="15"/>
  <ns0:cols>
    <ns0:col width="25" customWidth="1" min="1" max="1"/>
    <ns0:col width="41" customWidth="1" min="2" max="2"/>
    <ns0:col width="23" customWidth="1" min="3" max="3"/>
    <ns0:col width="23" customWidth="1" min="4" max="4"/>
    <ns0:col width="23" customWidth="1" min="5" max="5"/>
    <ns0:col width="23" customWidth="1" min="6" max="6"/>
    <ns0:col width="23" customWidth="1" min="7" max="7"/>
    <ns0:col width="15" customWidth="1" min="8" max="8"/>
    <ns0:col width="15" customWidth="1" min="9" max="9"/>
  </ns0:cols>
  <ns0:sheetData>
    <ns0:row r="1" ht="27" customHeight="1">
      <ns0:c r="A1" s="1" t="inlineStr">
        <ns0:is>
          <ns0:t>رمز الحساب</ns0:t>
        </ns0:is>
      </ns0:c>
      <ns0:c r="B1" s="1" t="inlineStr">
        <ns0:is>
          <ns0:t>اسم الحساب</ns0:t>
        </ns0:is>
      </ns0:c>
      <ns0:c r="C1" s="1" t="inlineStr">
        <ns0:is>
          <ns0:t>النوع</ns0:t>
        </ns0:is>
      </ns0:c>
      <ns0:c r="D1" s="1" t="inlineStr">
        <ns0:is>
          <ns0:t>إجمالي المدين</ns0:t>
        </ns0:is>
      </ns0:c>
      <ns0:c r="E1" s="1" t="inlineStr">
        <ns0:is>
          <ns0:t>إجمالي الدائن</ns0:t>
        </ns0:is>
      </ns0:c>
      <ns0:c r="F1" s="1" t="inlineStr">
        <ns0:is>
          <ns0:t>صافي مدين ناقص دائن</ns0:t>
        </ns0:is>
      </ns0:c>
      <ns0:c r="G1" s="1" t="inlineStr">
        <ns0:is>
          <ns0:t>الرصيد حسب طبيعة النوع</ns0:t>
        </ns0:is>
      </ns0:c>
      <ns0:c r="H1" s="1" t="inlineStr">
        <ns0:is>
          <ns0:t>مستوى الحساب</ns0:t>
        </ns0:is>
      </ns0:c>
      <ns0:c r="I1" s="1" t="inlineStr">
        <ns0:is>
          <ns0:t>عدد البنود</ns0:t>
        </ns0:is>
      </ns0:c>
    </ns0:row>
    <ns0:row r="2" ht="27" customHeight="1">
      <ns0:c r="A2" s="2" t="inlineStr">
        <ns0:is>
          <ns0:t>1010</ns0:t>
        </ns0:is>
      </ns0:c>
      <ns0:c r="B2" s="2" t="inlineStr">
        <ns0:is>
          <ns0:t>النقدية والبنك</ns0:t>
        </ns0:is>
      </ns0:c>
      <ns0:c r="C2" s="2" t="inlineStr">
        <ns0:is>
          <ns0:t>الأصول</ns0:t>
        </ns0:is>
      </ns0:c>
      <ns0:c r="D2" s="3" t="n">
        <ns0:v>1074903.96</ns0:v>
      </ns0:c>
      <ns0:c r="E2" s="3" t="n">
        <ns0:v>505336.98</ns0:v>
      </ns0:c>
      <ns0:c r="F2" s="3">
        <ns0:f>D2-E2</ns0:f>
        <ns0:v>569566.98</ns0:v>
      </ns0:c>
      <ns0:c r="G2" s="3">
        <ns0:f>F2</ns0:f>
        <ns0:v>569566.98</ns0:v>
      </ns0:c>
      <ns0:c r="H2" s="4" t="n">
        <ns0:v>2</ns0:v>
      </ns0:c>
      <ns0:c r="I2" s="4" t="n">
        <ns0:v>193</ns0:v>
      </ns0:c>
    </ns0:row>
    <ns0:row r="3" ht="27" customHeight="1">
      <ns0:c r="A3" s="2" t="inlineStr">
        <ns0:is>
          <ns0:t>11111</ns0:t>
        </ns0:is>
      </ns0:c>
      <ns0:c r="B3" s="2" t="inlineStr">
        <ns0:is>
          <ns0:t>صندوق الفرع الرئيسي</ns0:t>
        </ns0:is>
      </ns0:c>
      <ns0:c r="C3" s="2" t="inlineStr">
        <ns0:is>
          <ns0:t>الأصول</ns0:t>
        </ns0:is>
      </ns0:c>
      <ns0:c r="D3" s="3" t="n">
        <ns0:v>1612975</ns0:v>
      </ns0:c>
      <ns0:c r="E3" s="3" t="n">
        <ns0:v>11550</ns0:v>
      </ns0:c>
      <ns0:c r="F3" s="3">
        <ns0:f>D3-E3</ns0:f>
        <ns0:v>1601425.00</ns0:v>
      </ns0:c>
      <ns0:c r="G3" s="3">
        <ns0:f>F3</ns0:f>
        <ns0:v>1601425.00</ns0:v>
      </ns0:c>
      <ns0:c r="H3" s="4" t="n">
        <ns0:v>3</ns0:v>
      </ns0:c>
      <ns0:c r="I3" s="4" t="n">
        <ns0:v>1227</ns0:v>
      </ns0:c>
    </ns0:row>
    <ns0:row r="4" ht="27" customHeight="1">
      <ns0:c r="A4" s="2" t="inlineStr">
        <ns0:is>
          <ns0:t>11151</ns0:t>
        </ns0:is>
      </ns0:c>
      <ns0:c r="B4" s="2" t="inlineStr">
        <ns0:is>
          <ns0:t>البنك التجاري  - حساب الجاري</ns0:t>
        </ns0:is>
      </ns0:c>
      <ns0:c r="C4" s="2" t="inlineStr">
        <ns0:is>
          <ns0:t>الأصول</ns0:t>
        </ns0:is>
      </ns0:c>
      <ns0:c r="D4" s="3" t="n">
        <ns0:v>2645908.63</ns0:v>
      </ns0:c>
      <ns0:c r="E4" s="3" t="n">
        <ns0:v>41160</ns0:v>
      </ns0:c>
      <ns0:c r="F4" s="3">
        <ns0:f>D4-E4</ns0:f>
        <ns0:v>2604748.63</ns0:v>
      </ns0:c>
      <ns0:c r="G4" s="3">
        <ns0:f>F4</ns0:f>
        <ns0:v>2604748.63</ns0:v>
      </ns0:c>
      <ns0:c r="H4" s="4" t="n">
        <ns0:v>5</ns0:v>
      </ns0:c>
      <ns0:c r="I4" s="4" t="n">
        <ns0:v>1776</ns0:v>
      </ns0:c>
    </ns0:row>
    <ns0:row r="5" ht="27" customHeight="1">
      <ns0:c r="A5" s="2" t="inlineStr">
        <ns0:is>
          <ns0:t>11211</ns0:t>
        </ns0:is>
      </ns0:c>
      <ns0:c r="B5" s="2" t="inlineStr">
        <ns0:is>
          <ns0:t>ايجار منتهي بالتملك</ns0:t>
        </ns0:is>
      </ns0:c>
      <ns0:c r="C5" s="2" t="inlineStr">
        <ns0:is>
          <ns0:t>الأصول</ns0:t>
        </ns0:is>
      </ns0:c>
      <ns0:c r="D5" s="3" t="n">
        <ns0:v>2189220.17</ns0:v>
      </ns0:c>
      <ns0:c r="E5" s="3" t="n">
        <ns0:v>4944602.78</ns0:v>
      </ns0:c>
      <ns0:c r="F5" s="3">
        <ns0:f>D5-E5</ns0:f>
        <ns0:v>-2755382.61</ns0:v>
      </ns0:c>
      <ns0:c r="G5" s="3">
        <ns0:f>F5</ns0:f>
        <ns0:v>-2755382.61</ns0:v>
      </ns0:c>
      <ns0:c r="H5" s="4" t="n">
        <ns0:v>5</ns0:v>
      </ns0:c>
      <ns0:c r="I5" s="4" t="n">
        <ns0:v>2585</ns0:v>
      </ns0:c>
    </ns0:row>
    <ns0:row r="6" ht="27" customHeight="1">
      <ns0:c r="A6" s="2" t="inlineStr">
        <ns0:is>
          <ns0:t>11213</ns0:t>
        </ns0:is>
      </ns0:c>
      <ns0:c r="B6" s="2" t="inlineStr">
        <ns0:is>
          <ns0:t>عملاء أفراد - متأخرات</ns0:t>
        </ns0:is>
      </ns0:c>
      <ns0:c r="C6" s="2" t="inlineStr">
        <ns0:is>
          <ns0:t>الأصول</ns0:t>
        </ns0:is>
      </ns0:c>
      <ns0:c r="D6" s="3" t="n">
        <ns0:v>167400</ns0:v>
      </ns0:c>
      <ns0:c r="E6" s="3" t="n">
        <ns0:v>1500</ns0:v>
      </ns0:c>
      <ns0:c r="F6" s="3">
        <ns0:f>D6-E6</ns0:f>
        <ns0:v>165900.00</ns0:v>
      </ns0:c>
      <ns0:c r="G6" s="3">
        <ns0:f>F6</ns0:f>
        <ns0:v>165900.00</ns0:v>
      </ns0:c>
      <ns0:c r="H6" s="4" t="n">
        <ns0:v>5</ns0:v>
      </ns0:c>
      <ns0:c r="I6" s="4" t="n">
        <ns0:v>102</ns0:v>
      </ns0:c>
    </ns0:row>
    <ns0:row r="7" ht="27" customHeight="1">
      <ns0:c r="A7" s="2" t="inlineStr">
        <ns0:is>
          <ns0:t>11521</ns0:t>
        </ns0:is>
      </ns0:c>
      <ns0:c r="B7" s="2" t="inlineStr">
        <ns0:is>
          <ns0:t>شيكات البنك التجاري</ns0:t>
        </ns0:is>
      </ns0:c>
      <ns0:c r="C7" s="2" t="inlineStr">
        <ns0:is>
          <ns0:t>الأصول</ns0:t>
        </ns0:is>
      </ns0:c>
      <ns0:c r="D7" s="3" t="n">
        <ns0:v>1681312.94</ns0:v>
      </ns0:c>
      <ns0:c r="E7" s="3" t="n">
        <ns0:v>1628702.94</ns0:v>
      </ns0:c>
      <ns0:c r="F7" s="3">
        <ns0:f>D7-E7</ns0:f>
        <ns0:v>52610.00</ns0:v>
      </ns0:c>
      <ns0:c r="G7" s="3">
        <ns0:f>F7</ns0:f>
        <ns0:v>52610.00</ns0:v>
      </ns0:c>
      <ns0:c r="H7" s="4" t="n">
        <ns0:v>5</ns0:v>
      </ns0:c>
      <ns0:c r="I7" s="4" t="n">
        <ns0:v>295</ns0:v>
      </ns0:c>
    </ns0:row>
    <ns0:row r="8" ht="27" customHeight="1">
      <ns0:c r="A8" s="2" t="inlineStr">
        <ns0:is>
          <ns0:t>11611</ns0:t>
        </ns0:is>
      </ns0:c>
      <ns0:c r="B8" s="2" t="inlineStr">
        <ns0:is>
          <ns0:t>ضمانات نقدية - أفراد</ns0:t>
        </ns0:is>
      </ns0:c>
      <ns0:c r="C8" s="2" t="inlineStr">
        <ns0:is>
          <ns0:t>الأصول</ns0:t>
        </ns0:is>
      </ns0:c>
      <ns0:c r="D8" s="3" t="n">
        <ns0:v>990773.96</ns0:v>
      </ns0:c>
      <ns0:c r="E8" s="3" t="n">
        <ns0:v>990773.96</ns0:v>
      </ns0:c>
      <ns0:c r="F8" s="3">
        <ns0:f>D8-E8</ns0:f>
        <ns0:v>0.00</ns0:v>
      </ns0:c>
      <ns0:c r="G8" s="3">
        <ns0:f>F8</ns0:f>
        <ns0:v>0.00</ns0:v>
      </ns0:c>
      <ns0:c r="H8" s="4" t="n">
        <ns0:v>5</ns0:v>
      </ns0:c>
      <ns0:c r="I8" s="4" t="n">
        <ns0:v>164</ns0:v>
      </ns0:c>
    </ns0:row>
    <ns0:row r="9" ht="27" customHeight="1">
      <ns0:c r="A9" s="2" t="inlineStr">
        <ns0:is>
          <ns0:t>1200</ns0:t>
        </ns0:is>
      </ns0:c>
      <ns0:c r="B9" s="2" t="inlineStr">
        <ns0:is>
          <ns0:t>ذمم العملاء</ns0:t>
        </ns0:is>
      </ns0:c>
      <ns0:c r="C9" s="2" t="inlineStr">
        <ns0:is>
          <ns0:t>الأصول</ns0:t>
        </ns0:is>
      </ns0:c>
      <ns0:c r="D9" s="3" t="n">
        <ns0:v>15276667.05</ns0:v>
      </ns0:c>
      <ns0:c r="E9" s="3" t="n">
        <ns0:v>7217355.88</ns0:v>
      </ns0:c>
      <ns0:c r="F9" s="3">
        <ns0:f>D9-E9</ns0:f>
        <ns0:v>8059311.17</ns0:v>
      </ns0:c>
      <ns0:c r="G9" s="3">
        <ns0:f>F9</ns0:f>
        <ns0:v>8059311.17</ns0:v>
      </ns0:c>
      <ns0:c r="H9" s="4" t="n">
        <ns0:v>3</ns0:v>
      </ns0:c>
      <ns0:c r="I9" s="4" t="n">
        <ns0:v>9805</ns0:v>
      </ns0:c>
    </ns0:row>
    <ns0:row r="10" ht="27" customHeight="1">
      <ns0:c r="A10" s="2" t="inlineStr">
        <ns0:is>
          <ns0:t>20201</ns0:t>
        </ns0:is>
      </ns0:c>
      <ns0:c r="B10" s="2" t="inlineStr">
        <ns0:is>
          <ns0:t>دفعات مقدمة من العملاء</ns0:t>
        </ns0:is>
      </ns0:c>
      <ns0:c r="C10" s="2" t="inlineStr">
        <ns0:is>
          <ns0:t>الالتزامات</ns0:t>
        </ns0:is>
      </ns0:c>
      <ns0:c r="D10" s="3" t="n">
        <ns0:v>0</ns0:v>
      </ns0:c>
      <ns0:c r="E10" s="3" t="n">
        <ns0:v>1499975</ns0:v>
      </ns0:c>
      <ns0:c r="F10" s="3">
        <ns0:f>D10-E10</ns0:f>
        <ns0:v>-1499975.00</ns0:v>
      </ns0:c>
      <ns0:c r="G10" s="3">
        <ns0:f>-F10</ns0:f>
        <ns0:v>1499975.00</ns0:v>
      </ns0:c>
      <ns0:c r="H10" s="4" t="n">
        <ns0:v>3</ns0:v>
      </ns0:c>
      <ns0:c r="I10" s="4" t="n">
        <ns0:v>1123</ns0:v>
      </ns0:c>
    </ns0:row>
    <ns0:row r="11" ht="27" customHeight="1">
      <ns0:c r="A11" s="2" t="inlineStr">
        <ns0:is>
          <ns0:t>4101</ns0:t>
        </ns0:is>
      </ns0:c>
      <ns0:c r="B11" s="2" t="inlineStr">
        <ns0:is>
          <ns0:t>إيراد الخدمات</ns0:t>
        </ns0:is>
      </ns0:c>
      <ns0:c r="C11" s="2" t="inlineStr">
        <ns0:is>
          <ns0:t>الإيرادات</ns0:t>
        </ns0:is>
      </ns0:c>
      <ns0:c r="D11" s="3" t="n">
        <ns0:v>2096725.17</ns0:v>
      </ns0:c>
      <ns0:c r="E11" s="3" t="n">
        <ns0:v>2138110.17</ns0:v>
      </ns0:c>
      <ns0:c r="F11" s="3">
        <ns0:f>D11-E11</ns0:f>
        <ns0:v>-41385.00</ns0:v>
      </ns0:c>
      <ns0:c r="G11" s="3">
        <ns0:f>-F11</ns0:f>
        <ns0:v>41385.00</ns0:v>
      </ns0:c>
      <ns0:c r="H11" s="4" t="n">
        <ns0:v>2</ns0:v>
      </ns0:c>
      <ns0:c r="I11" s="4" t="n">
        <ns0:v>924</ns0:v>
      </ns0:c>
    </ns0:row>
    <ns0:row r="12" ht="27" customHeight="1">
      <ns0:c r="A12" s="2" t="inlineStr">
        <ns0:is>
          <ns0:t>4110</ns0:t>
        </ns0:is>
      </ns0:c>
      <ns0:c r="B12" s="2" t="inlineStr">
        <ns0:is>
          <ns0:t>إيرادات التأجير</ns0:t>
        </ns0:is>
      </ns0:c>
      <ns0:c r="C12" s="2" t="inlineStr">
        <ns0:is>
          <ns0:t>الإيرادات</ns0:t>
        </ns0:is>
      </ns0:c>
      <ns0:c r="D12" s="3" t="n">
        <ns0:v>15450</ns0:v>
      </ns0:c>
      <ns0:c r="E12" s="3" t="n">
        <ns0:v>3127183.17</ns0:v>
      </ns0:c>
      <ns0:c r="F12" s="3">
        <ns0:f>D12-E12</ns0:f>
        <ns0:v>-3111733.17</ns0:v>
      </ns0:c>
      <ns0:c r="G12" s="3">
        <ns0:f>-F12</ns0:f>
        <ns0:v>3111733.17</ns0:v>
      </ns0:c>
      <ns0:c r="H12" s="4" t="n">
        <ns0:v>2</ns0:v>
      </ns0:c>
      <ns0:c r="I12" s="4" t="n">
        <ns0:v>1051</ns0:v>
      </ns0:c>
    </ns0:row>
    <ns0:row r="13" ht="27" customHeight="1">
      <ns0:c r="A13" s="2" t="inlineStr">
        <ns0:is>
          <ns0:t>41101</ns0:t>
        </ns0:is>
      </ns0:c>
      <ns0:c r="B13" s="2" t="inlineStr">
        <ns0:is>
          <ns0:t>إيرادات تأجير سيارات شهري</ns0:t>
        </ns0:is>
      </ns0:c>
      <ns0:c r="C13" s="2" t="inlineStr">
        <ns0:is>
          <ns0:t>الإيرادات</ns0:t>
        </ns0:is>
      </ns0:c>
      <ns0:c r="D13" s="3" t="n">
        <ns0:v>3922764</ns0:v>
      </ns0:c>
      <ns0:c r="E13" s="3" t="n">
        <ns0:v>9579400</ns0:v>
      </ns0:c>
      <ns0:c r="F13" s="3">
        <ns0:f>D13-E13</ns0:f>
        <ns0:v>-5656636.00</ns0:v>
      </ns0:c>
      <ns0:c r="G13" s="3">
        <ns0:f>-F13</ns0:f>
        <ns0:v>5656636.00</ns0:v>
      </ns0:c>
      <ns0:c r="H13" s="4" t="n">
        <ns0:v>3</ns0:v>
      </ns0:c>
      <ns0:c r="I13" s="4" t="n">
        <ns0:v>8448</ns0:v>
      </ns0:c>
    </ns0:row>
    <ns0:row r="14" ht="27" customHeight="1">
      <ns0:c r="A14" s="2" t="inlineStr">
        <ns0:is>
          <ns0:t>51111</ns0:t>
        </ns0:is>
      </ns0:c>
      <ns0:c r="B14" s="2" t="inlineStr">
        <ns0:is>
          <ns0:t>مصروف صيانة المركبات التاريخي</ns0:t>
        </ns0:is>
      </ns0:c>
      <ns0:c r="C14" s="2" t="inlineStr">
        <ns0:is>
          <ns0:t>المصروفات</ns0:t>
        </ns0:is>
      </ns0:c>
      <ns0:c r="D14" s="3" t="n">
        <ns0:v>11550</ns0:v>
      </ns0:c>
      <ns0:c r="E14" s="3" t="n">
        <ns0:v>0</ns0:v>
      </ns0:c>
      <ns0:c r="F14" s="3">
        <ns0:f>D14-E14</ns0:f>
        <ns0:v>11550.00</ns0:v>
      </ns0:c>
      <ns0:c r="G14" s="3">
        <ns0:f>F14</ns0:f>
        <ns0:v>11550.00</ns0:v>
      </ns0:c>
      <ns0:c r="H14" s="4" t="n">
        <ns0:v>3</ns0:v>
      </ns0:c>
      <ns0:c r="I14" s="4" t="n">
        <ns0:v>13</ns0:v>
      </ns0:c>
    </ns0:row>
    <ns0:row r="15" ht="27" customHeight="1">
      <ns0:c r="A15" s="2" t="inlineStr"/>
      <ns0:c r="B15" s="2" t="inlineStr">
        <ns0:is>
          <ns0:t>إجمالي الحركة</ns0:t>
        </ns0:is>
      </ns0:c>
      <ns0:c r="C15" s="2" t="inlineStr"/>
      <ns0:c r="D15" s="3">
        <ns0:f>SUM(D2:D14)</ns0:f>
        <ns0:v>31685650.88</ns0:v>
      </ns0:c>
      <ns0:c r="E15" s="3">
        <ns0:f>SUM(E2:E14)</ns0:f>
        <ns0:v>31685650.88</ns0:v>
      </ns0:c>
      <ns0:c r="F15" s="3">
        <ns0:f>SUM(F2:F14)</ns0:f>
        <ns0:v>0.00</ns0:v>
      </ns0:c>
      <ns0:c r="G15" s="2" t="inlineStr"/>
      <ns0:c r="H15" s="4" t="inlineStr"/>
      <ns0:c r="I15" s="4">
        <ns0:f>SUM(I2:I14)</ns0:f>
        <ns0:v>27706.00</ns0:v>
      </ns0:c>
    </ns0:row>
  </ns0:sheetData>
  <ns0:autoFilter ref="A1:I14"/>
  <ns0:pageMargins left="0.75" right="0.75" top="1" bottom="1" header="0.5" footer="0.5"/>
  <ns0:pageSetup orientation="landscape" paperSize="9" fitToHeight="0" fitToWidth="1"/>
</ns0:worksheet>
</file>

<file path=xl/worksheets/sheet3.xml><?xml version="1.0" encoding="utf-8"?>
<ns0:worksheet xmlns:ns0="http://schemas.openxmlformats.org/spreadsheetml/2006/main">
  <ns0:sheetPr>
    <ns0:outlinePr summaryBelow="1" summaryRight="1"/>
    <ns0:pageSetUpPr fitToPage="1"/>
  </ns0:sheetPr>
  <ns0:dimension ref="A1:C23"/>
  <ns0:sheetViews>
    <ns0:sheetView showGridLines="0" rightToLeft="1" workbookViewId="0">
      <ns0:pane xSplit="2" ySplit="3" topLeftCell="C4" activePane="bottomRight" state="frozen"/>
      <ns0:selection pane="topRight"/>
      <ns0:selection pane="bottomLeft"/>
      <ns0:selection pane="bottomRight" activeCell="A1" sqref="A1"/>
    </ns0:sheetView>
  </ns0:sheetViews>
  <ns0:sheetFormatPr baseColWidth="8" defaultRowHeight="15"/>
  <ns0:cols>
    <ns0:col width="59" customWidth="1" min="1" max="1"/>
    <ns0:col width="25" customWidth="1" min="2" max="2"/>
    <ns0:col width="25" customWidth="1" min="3" max="3"/>
  </ns0:cols>
  <ns0:sheetData>
    <ns0:row r="1" ht="27" customHeight="1">
      <ns0:c r="A1" s="1" t="inlineStr">
        <ns0:is>
          <ns0:t>مسودة قائمة المركز المالي</ns0:t>
        </ns0:is>
      </ns0:c>
      <ns0:c r="B1" s="1" t="inlineStr">
        <ns0:is>
          <ns0:t>2025-12-31</ns0:t>
        </ns0:is>
      </ns0:c>
      <ns0:c r="C1" s="1" t="n"/>
    </ns0:row>
    <ns0:row r="2" ht="27" customHeight="1">
      <ns0:c r="A2" s="2" t="inlineStr">
        <ns0:is>
          <ns0:t>غير مدققة وغير معتمدة</ns0:t>
        </ns0:is>
      </ns0:c>
      <ns0:c r="B2" s="2" t="inlineStr">
        <ns0:is>
          <ns0:t>QAR</ns0:t>
        </ns0:is>
      </ns0:c>
      <ns0:c r="C2" s="2" t="n"/>
    </ns0:row>
    <ns0:row r="3" ht="27" customHeight="1">
      <ns0:c r="A3" s="2" t="inlineStr">
        <ns0:is>
          <ns0:t>البند</ns0:t>
        </ns0:is>
      </ns0:c>
      <ns0:c r="B3" s="2" t="inlineStr">
        <ns0:is>
          <ns0:t>رمز الحساب</ns0:t>
        </ns0:is>
      </ns0:c>
      <ns0:c r="C3" s="2" t="inlineStr">
        <ns0:is>
          <ns0:t>المبلغ</ns0:t>
        </ns0:is>
      </ns0:c>
    </ns0:row>
    <ns0:row r="4" ht="27" customHeight="1">
      <ns0:c r="A4" s="2" t="inlineStr">
        <ns0:is>
          <ns0:t>الأصول</ns0:t>
        </ns0:is>
      </ns0:c>
      <ns0:c r="B4" s="2" t="inlineStr"/>
      <ns0:c r="C4" s="2" t="inlineStr"/>
    </ns0:row>
    <ns0:row r="5" ht="27" customHeight="1">
      <ns0:c r="A5" s="2" t="inlineStr">
        <ns0:is>
          <ns0:t>النقدية والبنك</ns0:t>
        </ns0:is>
      </ns0:c>
      <ns0:c r="B5" s="2" t="inlineStr">
        <ns0:is>
          <ns0:t>1010</ns0:t>
        </ns0:is>
      </ns0:c>
      <ns0:c r="C5" s="3">
        <ns0:f>'أرصدة 2025'!G2</ns0:f>
        <ns0:v>569566.98</ns0:v>
      </ns0:c>
    </ns0:row>
    <ns0:row r="6" ht="27" customHeight="1">
      <ns0:c r="A6" s="2" t="inlineStr">
        <ns0:is>
          <ns0:t>صندوق الفرع الرئيسي</ns0:t>
        </ns0:is>
      </ns0:c>
      <ns0:c r="B6" s="2" t="inlineStr">
        <ns0:is>
          <ns0:t>11111</ns0:t>
        </ns0:is>
      </ns0:c>
      <ns0:c r="C6" s="3">
        <ns0:f>'أرصدة 2025'!G3</ns0:f>
        <ns0:v>1601425.00</ns0:v>
      </ns0:c>
    </ns0:row>
    <ns0:row r="7" ht="27" customHeight="1">
      <ns0:c r="A7" s="2" t="inlineStr">
        <ns0:is>
          <ns0:t>البنك التجاري  - حساب الجاري</ns0:t>
        </ns0:is>
      </ns0:c>
      <ns0:c r="B7" s="2" t="inlineStr">
        <ns0:is>
          <ns0:t>11151</ns0:t>
        </ns0:is>
      </ns0:c>
      <ns0:c r="C7" s="3">
        <ns0:f>'أرصدة 2025'!G4</ns0:f>
        <ns0:v>2604748.63</ns0:v>
      </ns0:c>
    </ns0:row>
    <ns0:row r="8" ht="27" customHeight="1">
      <ns0:c r="A8" s="2" t="inlineStr">
        <ns0:is>
          <ns0:t>ايجار منتهي بالتملك</ns0:t>
        </ns0:is>
      </ns0:c>
      <ns0:c r="B8" s="2" t="inlineStr">
        <ns0:is>
          <ns0:t>11211</ns0:t>
        </ns0:is>
      </ns0:c>
      <ns0:c r="C8" s="3">
        <ns0:f>'أرصدة 2025'!G5</ns0:f>
        <ns0:v>-2755382.61</ns0:v>
      </ns0:c>
    </ns0:row>
    <ns0:row r="9" ht="27" customHeight="1">
      <ns0:c r="A9" s="2" t="inlineStr">
        <ns0:is>
          <ns0:t>عملاء أفراد - متأخرات</ns0:t>
        </ns0:is>
      </ns0:c>
      <ns0:c r="B9" s="2" t="inlineStr">
        <ns0:is>
          <ns0:t>11213</ns0:t>
        </ns0:is>
      </ns0:c>
      <ns0:c r="C9" s="3">
        <ns0:f>'أرصدة 2025'!G6</ns0:f>
        <ns0:v>165900.00</ns0:v>
      </ns0:c>
    </ns0:row>
    <ns0:row r="10" ht="27" customHeight="1">
      <ns0:c r="A10" s="2" t="inlineStr">
        <ns0:is>
          <ns0:t>شيكات البنك التجاري</ns0:t>
        </ns0:is>
      </ns0:c>
      <ns0:c r="B10" s="2" t="inlineStr">
        <ns0:is>
          <ns0:t>11521</ns0:t>
        </ns0:is>
      </ns0:c>
      <ns0:c r="C10" s="3">
        <ns0:f>'أرصدة 2025'!G7</ns0:f>
        <ns0:v>52610.00</ns0:v>
      </ns0:c>
    </ns0:row>
    <ns0:row r="11" ht="27" customHeight="1">
      <ns0:c r="A11" s="2" t="inlineStr">
        <ns0:is>
          <ns0:t>ضمانات نقدية - أفراد</ns0:t>
        </ns0:is>
      </ns0:c>
      <ns0:c r="B11" s="2" t="inlineStr">
        <ns0:is>
          <ns0:t>11611</ns0:t>
        </ns0:is>
      </ns0:c>
      <ns0:c r="C11" s="3">
        <ns0:f>'أرصدة 2025'!G8</ns0:f>
        <ns0:v>0.00</ns0:v>
      </ns0:c>
    </ns0:row>
    <ns0:row r="12" ht="27" customHeight="1">
      <ns0:c r="A12" s="2" t="inlineStr">
        <ns0:is>
          <ns0:t>ذمم العملاء</ns0:t>
        </ns0:is>
      </ns0:c>
      <ns0:c r="B12" s="2" t="inlineStr">
        <ns0:is>
          <ns0:t>1200</ns0:t>
        </ns0:is>
      </ns0:c>
      <ns0:c r="C12" s="3">
        <ns0:f>'أرصدة 2025'!G9</ns0:f>
        <ns0:v>8059311.17</ns0:v>
      </ns0:c>
    </ns0:row>
    <ns0:row r="13" ht="27" customHeight="1">
      <ns0:c r="A13" s="5" t="inlineStr">
        <ns0:is>
          <ns0:t>إجمالي الأصول</ns0:t>
        </ns0:is>
      </ns0:c>
      <ns0:c r="B13" s="5" t="inlineStr"/>
      <ns0:c r="C13" s="6">
        <ns0:f>SUM(C5:C12)</ns0:f>
        <ns0:v>10298179.17</ns0:v>
      </ns0:c>
    </ns0:row>
    <ns0:row r="14" ht="27" customHeight="1">
      <ns0:c r="A14" s="2" t="inlineStr">
        <ns0:is>
          <ns0:t>الالتزامات</ns0:t>
        </ns0:is>
      </ns0:c>
      <ns0:c r="B14" s="2" t="inlineStr"/>
      <ns0:c r="C14" s="2" t="inlineStr"/>
    </ns0:row>
    <ns0:row r="15" ht="27" customHeight="1">
      <ns0:c r="A15" s="2" t="inlineStr">
        <ns0:is>
          <ns0:t>دفعات مقدمة من العملاء</ns0:t>
        </ns0:is>
      </ns0:c>
      <ns0:c r="B15" s="2" t="inlineStr">
        <ns0:is>
          <ns0:t>20201</ns0:t>
        </ns0:is>
      </ns0:c>
      <ns0:c r="C15" s="3">
        <ns0:f>'أرصدة 2025'!G10</ns0:f>
        <ns0:v>1499975.00</ns0:v>
      </ns0:c>
    </ns0:row>
    <ns0:row r="16" ht="27" customHeight="1">
      <ns0:c r="A16" s="5" t="inlineStr">
        <ns0:is>
          <ns0:t>إجمالي الالتزامات</ns0:t>
        </ns0:is>
      </ns0:c>
      <ns0:c r="B16" s="5" t="inlineStr"/>
      <ns0:c r="C16" s="6">
        <ns0:f>SUM(C15:C15)</ns0:f>
        <ns0:v>1499975.00</ns0:v>
      </ns0:c>
    </ns0:row>
    <ns0:row r="17" ht="27" customHeight="1">
      <ns0:c r="A17" s="2" t="inlineStr">
        <ns0:is>
          <ns0:t>حقوق الملكية</ns0:t>
        </ns0:is>
      </ns0:c>
      <ns0:c r="B17" s="2" t="inlineStr"/>
      <ns0:c r="C17" s="2" t="inlineStr"/>
    </ns0:row>
    <ns0:row r="18" ht="27" customHeight="1">
      <ns0:c r="A18" s="2" t="inlineStr">
        <ns0:is>
          <ns0:t>لا يظهر رصيد مرحل</ns0:t>
        </ns0:is>
      </ns0:c>
      <ns0:c r="B18" s="2" t="inlineStr"/>
      <ns0:c r="C18" s="3">
        <ns0:f>0</ns0:f>
        <ns0:v>0.00</ns0:v>
      </ns0:c>
    </ns0:row>
    <ns0:row r="19" ht="27" customHeight="1">
      <ns0:c r="A19" s="5" t="inlineStr">
        <ns0:is>
          <ns0:t>إجمالي حقوق الملكية</ns0:t>
        </ns0:is>
      </ns0:c>
      <ns0:c r="B19" s="5" t="inlineStr"/>
      <ns0:c r="C19" s="6">
        <ns0:f>SUM(C18:C18)</ns0:f>
        <ns0:v>0.00</ns0:v>
      </ns0:c>
    </ns0:row>
    <ns0:row r="20" ht="27" customHeight="1">
      <ns0:c r="A20" s="2" t="inlineStr">
        <ns0:is>
          <ns0:t>صافي الإيرادات والمصروفات غير المقفلة</ns0:t>
        </ns0:is>
      </ns0:c>
      <ns0:c r="B20" s="2" t="inlineStr"/>
      <ns0:c r="C20" s="3">
        <ns0:f>SUMIF('أرصدة 2025'!C2:C14,"الإيرادات",'أرصدة 2025'!G2:G14)-SUMIF('أرصدة 2025'!C2:C14,"المصروفات",'أرصدة 2025'!G2:G14)</ns0:f>
        <ns0:v>8798204.17</ns0:v>
      </ns0:c>
    </ns0:row>
    <ns0:row r="21" ht="27" customHeight="1">
      <ns0:c r="A21" s="5" t="inlineStr">
        <ns0:is>
          <ns0:t>حقوق الملكية شاملة النتيجة غير المقفلة</ns0:t>
        </ns0:is>
      </ns0:c>
      <ns0:c r="B21" s="5" t="inlineStr"/>
      <ns0:c r="C21" s="6">
        <ns0:f>C19+C20</ns0:f>
        <ns0:v>8798204.17</ns0:v>
      </ns0:c>
    </ns0:row>
    <ns0:row r="22" ht="27" customHeight="1">
      <ns0:c r="A22" s="5" t="inlineStr">
        <ns0:is>
          <ns0:t>إجمالي الالتزامات وحقوق الملكية</ns0:t>
        </ns0:is>
      </ns0:c>
      <ns0:c r="B22" s="5" t="inlineStr"/>
      <ns0:c r="C22" s="6">
        <ns0:f>C16+C21</ns0:f>
        <ns0:v>10298179.17</ns0:v>
      </ns0:c>
    </ns0:row>
    <ns0:row r="23" ht="27" customHeight="1">
      <ns0:c r="A23" s="5" t="inlineStr">
        <ns0:is>
          <ns0:t>فرق المعادلة</ns0:t>
        </ns0:is>
      </ns0:c>
      <ns0:c r="B23" s="5" t="inlineStr"/>
      <ns0:c r="C23" s="6">
        <ns0:f>C13-C22</ns0:f>
        <ns0:v>0.00</ns0:v>
      </ns0:c>
    </ns0:row>
  </ns0:sheetData>
  <ns0:pageMargins left="0.75" right="0.75" top="1" bottom="1" header="0.5" footer="0.5"/>
  <ns0:pageSetup orientation="portrait" paperSize="9" fitToHeight="0" fitToWidth="1"/>
</ns0:worksheet>
</file>

<file path=xl/worksheets/sheet4.xml><?xml version="1.0" encoding="utf-8"?>
<ns0:worksheet xmlns:ns0="http://schemas.openxmlformats.org/spreadsheetml/2006/main">
  <ns0:sheetPr>
    <ns0:outlinePr summaryBelow="1" summaryRight="1"/>
    <ns0:pageSetUpPr fitToPage="1"/>
  </ns0:sheetPr>
  <ns0:dimension ref="A1:I18"/>
  <ns0:sheetViews>
    <ns0:sheetView showGridLines="0" rightToLeft="1" workbookViewId="0">
      <ns0:pane xSplit="3" ySplit="1" topLeftCell="D2" activePane="bottomRight" state="frozen"/>
      <ns0:selection pane="topRight"/>
      <ns0:selection pane="bottomLeft"/>
      <ns0:selection pane="bottomRight" activeCell="A1" sqref="A1"/>
    </ns0:sheetView>
  </ns0:sheetViews>
  <ns0:sheetFormatPr baseColWidth="8" defaultRowHeight="15"/>
  <ns0:cols>
    <ns0:col width="25" customWidth="1" min="1" max="1"/>
    <ns0:col width="41" customWidth="1" min="2" max="2"/>
    <ns0:col width="23" customWidth="1" min="3" max="3"/>
    <ns0:col width="23" customWidth="1" min="4" max="4"/>
    <ns0:col width="23" customWidth="1" min="5" max="5"/>
    <ns0:col width="23" customWidth="1" min="6" max="6"/>
    <ns0:col width="23" customWidth="1" min="7" max="7"/>
    <ns0:col width="15" customWidth="1" min="8" max="8"/>
    <ns0:col width="15" customWidth="1" min="9" max="9"/>
  </ns0:cols>
  <ns0:sheetData>
    <ns0:row r="1" ht="27" customHeight="1">
      <ns0:c r="A1" s="1" t="inlineStr">
        <ns0:is>
          <ns0:t>رمز الحساب</ns0:t>
        </ns0:is>
      </ns0:c>
      <ns0:c r="B1" s="1" t="inlineStr">
        <ns0:is>
          <ns0:t>اسم الحساب</ns0:t>
        </ns0:is>
      </ns0:c>
      <ns0:c r="C1" s="1" t="inlineStr">
        <ns0:is>
          <ns0:t>النوع</ns0:t>
        </ns0:is>
      </ns0:c>
      <ns0:c r="D1" s="1" t="inlineStr">
        <ns0:is>
          <ns0:t>إجمالي المدين</ns0:t>
        </ns0:is>
      </ns0:c>
      <ns0:c r="E1" s="1" t="inlineStr">
        <ns0:is>
          <ns0:t>إجمالي الدائن</ns0:t>
        </ns0:is>
      </ns0:c>
      <ns0:c r="F1" s="1" t="inlineStr">
        <ns0:is>
          <ns0:t>صافي مدين ناقص دائن</ns0:t>
        </ns0:is>
      </ns0:c>
      <ns0:c r="G1" s="1" t="inlineStr">
        <ns0:is>
          <ns0:t>الرصيد حسب طبيعة النوع</ns0:t>
        </ns0:is>
      </ns0:c>
      <ns0:c r="H1" s="1" t="inlineStr">
        <ns0:is>
          <ns0:t>مستوى الحساب</ns0:t>
        </ns0:is>
      </ns0:c>
      <ns0:c r="I1" s="1" t="inlineStr">
        <ns0:is>
          <ns0:t>عدد البنود</ns0:t>
        </ns0:is>
      </ns0:c>
    </ns0:row>
    <ns0:row r="2" ht="27" customHeight="1">
      <ns0:c r="A2" s="2" t="inlineStr">
        <ns0:is>
          <ns0:t>1010</ns0:t>
        </ns0:is>
      </ns0:c>
      <ns0:c r="B2" s="2" t="inlineStr">
        <ns0:is>
          <ns0:t>النقدية والبنك</ns0:t>
        </ns0:is>
      </ns0:c>
      <ns0:c r="C2" s="2" t="inlineStr">
        <ns0:is>
          <ns0:t>الأصول</ns0:t>
        </ns0:is>
      </ns0:c>
      <ns0:c r="D2" s="3" t="n">
        <ns0:v>1171875.96</ns0:v>
      </ns0:c>
      <ns0:c r="E2" s="3" t="n">
        <ns0:v>782149.98</ns0:v>
      </ns0:c>
      <ns0:c r="F2" s="3">
        <ns0:f>D2-E2</ns0:f>
        <ns0:v>389725.98</ns0:v>
      </ns0:c>
      <ns0:c r="G2" s="3">
        <ns0:f>F2</ns0:f>
        <ns0:v>389725.98</ns0:v>
      </ns0:c>
      <ns0:c r="H2" s="4" t="n">
        <ns0:v>2</ns0:v>
      </ns0:c>
      <ns0:c r="I2" s="4" t="n">
        <ns0:v>280</ns0:v>
      </ns0:c>
    </ns0:row>
    <ns0:row r="3" ht="27" customHeight="1">
      <ns0:c r="A3" s="2" t="inlineStr">
        <ns0:is>
          <ns0:t>11111</ns0:t>
        </ns0:is>
      </ns0:c>
      <ns0:c r="B3" s="2" t="inlineStr">
        <ns0:is>
          <ns0:t>صندوق الفرع الرئيسي</ns0:t>
        </ns0:is>
      </ns0:c>
      <ns0:c r="C3" s="2" t="inlineStr">
        <ns0:is>
          <ns0:t>الأصول</ns0:t>
        </ns0:is>
      </ns0:c>
      <ns0:c r="D3" s="3" t="n">
        <ns0:v>1801965</ns0:v>
      </ns0:c>
      <ns0:c r="E3" s="3" t="n">
        <ns0:v>272352</ns0:v>
      </ns0:c>
      <ns0:c r="F3" s="3">
        <ns0:f>D3-E3</ns0:f>
        <ns0:v>1529613.00</ns0:v>
      </ns0:c>
      <ns0:c r="G3" s="3">
        <ns0:f>F3</ns0:f>
        <ns0:v>1529613.00</ns0:v>
      </ns0:c>
      <ns0:c r="H3" s="4" t="n">
        <ns0:v>3</ns0:v>
      </ns0:c>
      <ns0:c r="I3" s="4" t="n">
        <ns0:v>1562</ns0:v>
      </ns0:c>
    </ns0:row>
    <ns0:row r="4" ht="27" customHeight="1">
      <ns0:c r="A4" s="2" t="inlineStr">
        <ns0:is>
          <ns0:t>11151</ns0:t>
        </ns0:is>
      </ns0:c>
      <ns0:c r="B4" s="2" t="inlineStr">
        <ns0:is>
          <ns0:t>البنك التجاري  - حساب الجاري</ns0:t>
        </ns0:is>
      </ns0:c>
      <ns0:c r="C4" s="2" t="inlineStr">
        <ns0:is>
          <ns0:t>الأصول</ns0:t>
        </ns0:is>
      </ns0:c>
      <ns0:c r="D4" s="3" t="n">
        <ns0:v>2987204.63</ns0:v>
      </ns0:c>
      <ns0:c r="E4" s="3" t="n">
        <ns0:v>298371</ns0:v>
      </ns0:c>
      <ns0:c r="F4" s="3">
        <ns0:f>D4-E4</ns0:f>
        <ns0:v>2688833.63</ns0:v>
      </ns0:c>
      <ns0:c r="G4" s="3">
        <ns0:f>F4</ns0:f>
        <ns0:v>2688833.63</ns0:v>
      </ns0:c>
      <ns0:c r="H4" s="4" t="n">
        <ns0:v>5</ns0:v>
      </ns0:c>
      <ns0:c r="I4" s="4" t="n">
        <ns0:v>2181</ns0:v>
      </ns0:c>
    </ns0:row>
    <ns0:row r="5" ht="27" customHeight="1">
      <ns0:c r="A5" s="2" t="inlineStr">
        <ns0:is>
          <ns0:t>11211</ns0:t>
        </ns0:is>
      </ns0:c>
      <ns0:c r="B5" s="2" t="inlineStr">
        <ns0:is>
          <ns0:t>ايجار منتهي بالتملك</ns0:t>
        </ns0:is>
      </ns0:c>
      <ns0:c r="C5" s="2" t="inlineStr">
        <ns0:is>
          <ns0:t>الأصول</ns0:t>
        </ns0:is>
      </ns0:c>
      <ns0:c r="D5" s="3" t="n">
        <ns0:v>4459950.08</ns0:v>
      </ns0:c>
      <ns0:c r="E5" s="3" t="n">
        <ns0:v>5865321.78</ns0:v>
      </ns0:c>
      <ns0:c r="F5" s="3">
        <ns0:f>D5-E5</ns0:f>
        <ns0:v>-1405371.70</ns0:v>
      </ns0:c>
      <ns0:c r="G5" s="3">
        <ns0:f>F5</ns0:f>
        <ns0:v>-1405371.70</ns0:v>
      </ns0:c>
      <ns0:c r="H5" s="4" t="n">
        <ns0:v>5</ns0:v>
      </ns0:c>
      <ns0:c r="I5" s="4" t="n">
        <ns0:v>4136</ns0:v>
      </ns0:c>
    </ns0:row>
    <ns0:row r="6" ht="27" customHeight="1">
      <ns0:c r="A6" s="2" t="inlineStr">
        <ns0:is>
          <ns0:t>11213</ns0:t>
        </ns0:is>
      </ns0:c>
      <ns0:c r="B6" s="2" t="inlineStr">
        <ns0:is>
          <ns0:t>عملاء أفراد - متأخرات</ns0:t>
        </ns0:is>
      </ns0:c>
      <ns0:c r="C6" s="2" t="inlineStr">
        <ns0:is>
          <ns0:t>الأصول</ns0:t>
        </ns0:is>
      </ns0:c>
      <ns0:c r="D6" s="3" t="n">
        <ns0:v>167400</ns0:v>
      </ns0:c>
      <ns0:c r="E6" s="3" t="n">
        <ns0:v>1500</ns0:v>
      </ns0:c>
      <ns0:c r="F6" s="3">
        <ns0:f>D6-E6</ns0:f>
        <ns0:v>165900.00</ns0:v>
      </ns0:c>
      <ns0:c r="G6" s="3">
        <ns0:f>F6</ns0:f>
        <ns0:v>165900.00</ns0:v>
      </ns0:c>
      <ns0:c r="H6" s="4" t="n">
        <ns0:v>5</ns0:v>
      </ns0:c>
      <ns0:c r="I6" s="4" t="n">
        <ns0:v>102</ns0:v>
      </ns0:c>
    </ns0:row>
    <ns0:row r="7" ht="27" customHeight="1">
      <ns0:c r="A7" s="2" t="inlineStr">
        <ns0:is>
          <ns0:t>11521</ns0:t>
        </ns0:is>
      </ns0:c>
      <ns0:c r="B7" s="2" t="inlineStr">
        <ns0:is>
          <ns0:t>شيكات البنك التجاري</ns0:t>
        </ns0:is>
      </ns0:c>
      <ns0:c r="C7" s="2" t="inlineStr">
        <ns0:is>
          <ns0:t>الأصول</ns0:t>
        </ns0:is>
      </ns0:c>
      <ns0:c r="D7" s="3" t="n">
        <ns0:v>1724248.94</ns0:v>
      </ns0:c>
      <ns0:c r="E7" s="3" t="n">
        <ns0:v>1647402.94</ns0:v>
      </ns0:c>
      <ns0:c r="F7" s="3">
        <ns0:f>D7-E7</ns0:f>
        <ns0:v>76846.00</ns0:v>
      </ns0:c>
      <ns0:c r="G7" s="3">
        <ns0:f>F7</ns0:f>
        <ns0:v>76846.00</ns0:v>
      </ns0:c>
      <ns0:c r="H7" s="4" t="n">
        <ns0:v>5</ns0:v>
      </ns0:c>
      <ns0:c r="I7" s="4" t="n">
        <ns0:v>330</ns0:v>
      </ns0:c>
    </ns0:row>
    <ns0:row r="8" ht="27" customHeight="1">
      <ns0:c r="A8" s="2" t="inlineStr">
        <ns0:is>
          <ns0:t>11611</ns0:t>
        </ns0:is>
      </ns0:c>
      <ns0:c r="B8" s="2" t="inlineStr">
        <ns0:is>
          <ns0:t>ضمانات نقدية - أفراد</ns0:t>
        </ns0:is>
      </ns0:c>
      <ns0:c r="C8" s="2" t="inlineStr">
        <ns0:is>
          <ns0:t>الأصول</ns0:t>
        </ns0:is>
      </ns0:c>
      <ns0:c r="D8" s="3" t="n">
        <ns0:v>999173.96</ns0:v>
      </ns0:c>
      <ns0:c r="E8" s="3" t="n">
        <ns0:v>999173.96</ns0:v>
      </ns0:c>
      <ns0:c r="F8" s="3">
        <ns0:f>D8-E8</ns0:f>
        <ns0:v>0.00</ns0:v>
      </ns0:c>
      <ns0:c r="G8" s="3">
        <ns0:f>F8</ns0:f>
        <ns0:v>0.00</ns0:v>
      </ns0:c>
      <ns0:c r="H8" s="4" t="n">
        <ns0:v>5</ns0:v>
      </ns0:c>
      <ns0:c r="I8" s="4" t="n">
        <ns0:v>172</ns0:v>
      </ns0:c>
    </ns0:row>
    <ns0:row r="9" ht="27" customHeight="1">
      <ns0:c r="A9" s="2" t="inlineStr">
        <ns0:is>
          <ns0:t>1200</ns0:t>
        </ns0:is>
      </ns0:c>
      <ns0:c r="B9" s="2" t="inlineStr">
        <ns0:is>
          <ns0:t>ذمم العملاء</ns0:t>
        </ns0:is>
      </ns0:c>
      <ns0:c r="C9" s="2" t="inlineStr">
        <ns0:is>
          <ns0:t>الأصول</ns0:t>
        </ns0:is>
      </ns0:c>
      <ns0:c r="D9" s="3" t="n">
        <ns0:v>28199555.97</ns0:v>
      </ns0:c>
      <ns0:c r="E9" s="3" t="n">
        <ns0:v>10872883.88</ns0:v>
      </ns0:c>
      <ns0:c r="F9" s="3">
        <ns0:f>D9-E9</ns0:f>
        <ns0:v>17326672.09</ns0:v>
      </ns0:c>
      <ns0:c r="G9" s="3">
        <ns0:f>F9</ns0:f>
        <ns0:v>17326672.09</ns0:v>
      </ns0:c>
      <ns0:c r="H9" s="4" t="n">
        <ns0:v>3</ns0:v>
      </ns0:c>
      <ns0:c r="I9" s="4" t="n">
        <ns0:v>13237</ns0:v>
      </ns0:c>
    </ns0:row>
    <ns0:row r="10" ht="27" customHeight="1">
      <ns0:c r="A10" s="2" t="inlineStr">
        <ns0:is>
          <ns0:t>20201</ns0:t>
        </ns0:is>
      </ns0:c>
      <ns0:c r="B10" s="2" t="inlineStr">
        <ns0:is>
          <ns0:t>دفعات مقدمة من العملاء</ns0:t>
        </ns0:is>
      </ns0:c>
      <ns0:c r="C10" s="2" t="inlineStr">
        <ns0:is>
          <ns0:t>الالتزامات</ns0:t>
        </ns0:is>
      </ns0:c>
      <ns0:c r="D10" s="3" t="n">
        <ns0:v>631171</ns0:v>
      </ns0:c>
      <ns0:c r="E10" s="3" t="n">
        <ns0:v>2867831.91</ns0:v>
      </ns0:c>
      <ns0:c r="F10" s="3">
        <ns0:f>D10-E10</ns0:f>
        <ns0:v>-2236660.91</ns0:v>
      </ns0:c>
      <ns0:c r="G10" s="3">
        <ns0:f>-F10</ns0:f>
        <ns0:v>2236660.91</ns0:v>
      </ns0:c>
      <ns0:c r="H10" s="4" t="n">
        <ns0:v>3</ns0:v>
      </ns0:c>
      <ns0:c r="I10" s="4" t="n">
        <ns0:v>2596</ns0:v>
      </ns0:c>
    </ns0:row>
    <ns0:row r="11" ht="27" customHeight="1">
      <ns0:c r="A11" s="2" t="inlineStr">
        <ns0:is>
          <ns0:t>3100</ns0:t>
        </ns0:is>
      </ns0:c>
      <ns0:c r="B11" s="2" t="inlineStr">
        <ns0:is>
          <ns0:t>الأرباح المحتجزة</ns0:t>
        </ns0:is>
      </ns0:c>
      <ns0:c r="C11" s="2" t="inlineStr">
        <ns0:is>
          <ns0:t>حقوق الملكية</ns0:t>
        </ns0:is>
      </ns0:c>
      <ns0:c r="D11" s="3" t="n">
        <ns0:v>0</ns0:v>
      </ns0:c>
      <ns0:c r="E11" s="3" t="n">
        <ns0:v>14623471.92</ns0:v>
      </ns0:c>
      <ns0:c r="F11" s="3">
        <ns0:f>D11-E11</ns0:f>
        <ns0:v>-14623471.92</ns0:v>
      </ns0:c>
      <ns0:c r="G11" s="3">
        <ns0:f>-F11</ns0:f>
        <ns0:v>14623471.92</ns0:v>
      </ns0:c>
      <ns0:c r="H11" s="4" t="n">
        <ns0:v>2</ns0:v>
      </ns0:c>
      <ns0:c r="I11" s="4" t="n">
        <ns0:v>2</ns0:v>
      </ns0:c>
    </ns0:row>
    <ns0:row r="12" ht="27" customHeight="1">
      <ns0:c r="A12" s="2" t="inlineStr">
        <ns0:is>
          <ns0:t>4101</ns0:t>
        </ns0:is>
      </ns0:c>
      <ns0:c r="B12" s="2" t="inlineStr">
        <ns0:is>
          <ns0:t>إيراد الخدمات</ns0:t>
        </ns0:is>
      </ns0:c>
      <ns0:c r="C12" s="2" t="inlineStr">
        <ns0:is>
          <ns0:t>الإيرادات</ns0:t>
        </ns0:is>
      </ns0:c>
      <ns0:c r="D12" s="3" t="n">
        <ns0:v>4184779.17</ns0:v>
      </ns0:c>
      <ns0:c r="E12" s="3" t="n">
        <ns0:v>2614264.17</ns0:v>
      </ns0:c>
      <ns0:c r="F12" s="3">
        <ns0:f>D12-E12</ns0:f>
        <ns0:v>1570515.00</ns0:v>
      </ns0:c>
      <ns0:c r="G12" s="3">
        <ns0:f>-F12</ns0:f>
        <ns0:v>-1570515.00</ns0:v>
      </ns0:c>
      <ns0:c r="H12" s="4" t="n">
        <ns0:v>2</ns0:v>
      </ns0:c>
      <ns0:c r="I12" s="4" t="n">
        <ns0:v>1015</ns0:v>
      </ns0:c>
    </ns0:row>
    <ns0:row r="13" ht="27" customHeight="1">
      <ns0:c r="A13" s="2" t="inlineStr">
        <ns0:is>
          <ns0:t>4110</ns0:t>
        </ns0:is>
      </ns0:c>
      <ns0:c r="B13" s="2" t="inlineStr">
        <ns0:is>
          <ns0:t>إيرادات التأجير</ns0:t>
        </ns0:is>
      </ns0:c>
      <ns0:c r="C13" s="2" t="inlineStr">
        <ns0:is>
          <ns0:t>الإيرادات</ns0:t>
        </ns0:is>
      </ns0:c>
      <ns0:c r="D13" s="3" t="n">
        <ns0:v>4985968</ns0:v>
      </ns0:c>
      <ns0:c r="E13" s="3" t="n">
        <ns0:v>4602187.17</ns0:v>
      </ns0:c>
      <ns0:c r="F13" s="3">
        <ns0:f>D13-E13</ns0:f>
        <ns0:v>383780.83</ns0:v>
      </ns0:c>
      <ns0:c r="G13" s="3">
        <ns0:f>-F13</ns0:f>
        <ns0:v>-383780.83</ns0:v>
      </ns0:c>
      <ns0:c r="H13" s="4" t="n">
        <ns0:v>2</ns0:v>
      </ns0:c>
      <ns0:c r="I13" s="4" t="n">
        <ns0:v>1925</ns0:v>
      </ns0:c>
    </ns0:row>
    <ns0:row r="14" ht="27" customHeight="1">
      <ns0:c r="A14" s="2" t="inlineStr">
        <ns0:is>
          <ns0:t>41101</ns0:t>
        </ns0:is>
      </ns0:c>
      <ns0:c r="B14" s="2" t="inlineStr">
        <ns0:is>
          <ns0:t>إيرادات تأجير سيارات شهري</ns0:t>
        </ns0:is>
      </ns0:c>
      <ns0:c r="C14" s="2" t="inlineStr">
        <ns0:is>
          <ns0:t>الإيرادات</ns0:t>
        </ns0:is>
      </ns0:c>
      <ns0:c r="D14" s="3" t="n">
        <ns0:v>14998357.92</ns0:v>
      </ns0:c>
      <ns0:c r="E14" s="3" t="n">
        <ns0:v>20897229.92</ns0:v>
      </ns0:c>
      <ns0:c r="F14" s="3">
        <ns0:f>D14-E14</ns0:f>
        <ns0:v>-5898872.00</ns0:v>
      </ns0:c>
      <ns0:c r="G14" s="3">
        <ns0:f>-F14</ns0:f>
        <ns0:v>5898872.00</ns0:v>
      </ns0:c>
      <ns0:c r="H14" s="4" t="n">
        <ns0:v>3</ns0:v>
      </ns0:c>
      <ns0:c r="I14" s="4" t="n">
        <ns0:v>10475</ns0:v>
      </ns0:c>
    </ns0:row>
    <ns0:row r="15" ht="27" customHeight="1">
      <ns0:c r="A15" s="2" t="inlineStr">
        <ns0:is>
          <ns0:t>51111</ns0:t>
        </ns0:is>
      </ns0:c>
      <ns0:c r="B15" s="2" t="inlineStr">
        <ns0:is>
          <ns0:t>مصروف صيانة المركبات التاريخي</ns0:t>
        </ns0:is>
      </ns0:c>
      <ns0:c r="C15" s="2" t="inlineStr">
        <ns0:is>
          <ns0:t>المصروفات</ns0:t>
        </ns0:is>
      </ns0:c>
      <ns0:c r="D15" s="3" t="n">
        <ns0:v>32490</ns0:v>
      </ns0:c>
      <ns0:c r="E15" s="3" t="n">
        <ns0:v>0</ns0:v>
      </ns0:c>
      <ns0:c r="F15" s="3">
        <ns0:f>D15-E15</ns0:f>
        <ns0:v>32490.00</ns0:v>
      </ns0:c>
      <ns0:c r="G15" s="3">
        <ns0:f>F15</ns0:f>
        <ns0:v>32490.00</ns0:v>
      </ns0:c>
      <ns0:c r="H15" s="4" t="n">
        <ns0:v>3</ns0:v>
      </ns0:c>
      <ns0:c r="I15" s="4" t="n">
        <ns0:v>31</ns0:v>
      </ns0:c>
    </ns0:row>
    <ns0:row r="16" ht="27" customHeight="1">
      <ns0:c r="A16" s="2" t="inlineStr">
        <ns0:is>
          <ns0:t>TVF-EXP-24bc0b21</ns0:t>
        </ns0:is>
      </ns0:c>
      <ns0:c r="B16" s="2" t="inlineStr">
        <ns0:is>
          <ns0:t>مصروف المخالفات المرورية</ns0:t>
        </ns0:is>
      </ns0:c>
      <ns0:c r="C16" s="2" t="inlineStr">
        <ns0:is>
          <ns0:t>المصروفات</ns0:t>
        </ns0:is>
      </ns0:c>
      <ns0:c r="D16" s="3" t="n">
        <ns0:v>65200</ns0:v>
      </ns0:c>
      <ns0:c r="E16" s="3" t="n">
        <ns0:v>0</ns0:v>
      </ns0:c>
      <ns0:c r="F16" s="3">
        <ns0:f>D16-E16</ns0:f>
        <ns0:v>65200.00</ns0:v>
      </ns0:c>
      <ns0:c r="G16" s="3">
        <ns0:f>F16</ns0:f>
        <ns0:v>65200.00</ns0:v>
      </ns0:c>
      <ns0:c r="H16" s="4" t="n">
        <ns0:v>5</ns0:v>
      </ns0:c>
      <ns0:c r="I16" s="4" t="n">
        <ns0:v>9</ns0:v>
      </ns0:c>
    </ns0:row>
    <ns0:row r="17" ht="27" customHeight="1">
      <ns0:c r="A17" s="2" t="inlineStr">
        <ns0:is>
          <ns0:t>TVF-PAY-24bc0b21</ns0:t>
        </ns0:is>
      </ns0:c>
      <ns0:c r="B17" s="2" t="inlineStr">
        <ns0:is>
          <ns0:t>مخالفات مرورية مستحقة الدفع</ns0:t>
        </ns0:is>
      </ns0:c>
      <ns0:c r="C17" s="2" t="inlineStr">
        <ns0:is>
          <ns0:t>الالتزامات</ns0:t>
        </ns0:is>
      </ns0:c>
      <ns0:c r="D17" s="3" t="n">
        <ns0:v>0</ns0:v>
      </ns0:c>
      <ns0:c r="E17" s="3" t="n">
        <ns0:v>65200</ns0:v>
      </ns0:c>
      <ns0:c r="F17" s="3">
        <ns0:f>D17-E17</ns0:f>
        <ns0:v>-65200.00</ns0:v>
      </ns0:c>
      <ns0:c r="G17" s="3">
        <ns0:f>-F17</ns0:f>
        <ns0:v>65200.00</ns0:v>
      </ns0:c>
      <ns0:c r="H17" s="4" t="n">
        <ns0:v>5</ns0:v>
      </ns0:c>
      <ns0:c r="I17" s="4" t="n">
        <ns0:v>9</ns0:v>
      </ns0:c>
    </ns0:row>
    <ns0:row r="18" ht="27" customHeight="1">
      <ns0:c r="A18" s="2" t="inlineStr"/>
      <ns0:c r="B18" s="2" t="inlineStr">
        <ns0:is>
          <ns0:t>إجمالي الحركة</ns0:t>
        </ns0:is>
      </ns0:c>
      <ns0:c r="C18" s="2" t="inlineStr"/>
      <ns0:c r="D18" s="3">
        <ns0:f>SUM(D2:D17)</ns0:f>
        <ns0:v>66409340.63</ns0:v>
      </ns0:c>
      <ns0:c r="E18" s="3">
        <ns0:f>SUM(E2:E17)</ns0:f>
        <ns0:v>66409340.63</ns0:v>
      </ns0:c>
      <ns0:c r="F18" s="3">
        <ns0:f>SUM(F2:F17)</ns0:f>
        <ns0:v>0.00</ns0:v>
      </ns0:c>
      <ns0:c r="G18" s="2" t="inlineStr"/>
      <ns0:c r="H18" s="4" t="inlineStr"/>
      <ns0:c r="I18" s="4">
        <ns0:f>SUM(I2:I17)</ns0:f>
        <ns0:v>38062.00</ns0:v>
      </ns0:c>
    </ns0:row>
  </ns0:sheetData>
  <ns0:autoFilter ref="A1:I17"/>
  <ns0:pageMargins left="0.75" right="0.75" top="1" bottom="1" header="0.5" footer="0.5"/>
  <ns0:pageSetup orientation="landscape" paperSize="9" fitToHeight="0" fitToWidth="1"/>
</ns0:worksheet>
</file>

<file path=xl/worksheets/sheet5.xml><?xml version="1.0" encoding="utf-8"?>
<ns0:worksheet xmlns:ns0="http://schemas.openxmlformats.org/spreadsheetml/2006/main">
  <ns0:sheetPr>
    <ns0:outlinePr summaryBelow="1" summaryRight="1"/>
    <ns0:pageSetUpPr fitToPage="1"/>
  </ns0:sheetPr>
  <ns0:dimension ref="A1:C24"/>
  <ns0:sheetViews>
    <ns0:sheetView showGridLines="0" rightToLeft="1" workbookViewId="0">
      <ns0:pane xSplit="2" ySplit="3" topLeftCell="C4" activePane="bottomRight" state="frozen"/>
      <ns0:selection pane="topRight"/>
      <ns0:selection pane="bottomLeft"/>
      <ns0:selection pane="bottomRight" activeCell="A1" sqref="A1"/>
    </ns0:sheetView>
  </ns0:sheetViews>
  <ns0:sheetFormatPr baseColWidth="8" defaultRowHeight="15"/>
  <ns0:cols>
    <ns0:col width="59" customWidth="1" min="1" max="1"/>
    <ns0:col width="25" customWidth="1" min="2" max="2"/>
    <ns0:col width="25" customWidth="1" min="3" max="3"/>
  </ns0:cols>
  <ns0:sheetData>
    <ns0:row r="1" ht="27" customHeight="1">
      <ns0:c r="A1" s="1" t="inlineStr">
        <ns0:is>
          <ns0:t>مسودة قائمة المركز المالي</ns0:t>
        </ns0:is>
      </ns0:c>
      <ns0:c r="B1" s="1" t="inlineStr">
        <ns0:is>
          <ns0:t>2026-08-31</ns0:t>
        </ns0:is>
      </ns0:c>
      <ns0:c r="C1" s="1" t="n"/>
    </ns0:row>
    <ns0:row r="2" ht="27" customHeight="1">
      <ns0:c r="A2" s="2" t="inlineStr">
        <ns0:is>
          <ns0:t>غير مدققة وغير معتمدة</ns0:t>
        </ns0:is>
      </ns0:c>
      <ns0:c r="B2" s="2" t="inlineStr">
        <ns0:is>
          <ns0:t>QAR</ns0:t>
        </ns0:is>
      </ns0:c>
      <ns0:c r="C2" s="2" t="n"/>
    </ns0:row>
    <ns0:row r="3" ht="27" customHeight="1">
      <ns0:c r="A3" s="2" t="inlineStr">
        <ns0:is>
          <ns0:t>البند</ns0:t>
        </ns0:is>
      </ns0:c>
      <ns0:c r="B3" s="2" t="inlineStr">
        <ns0:is>
          <ns0:t>رمز الحساب</ns0:t>
        </ns0:is>
      </ns0:c>
      <ns0:c r="C3" s="2" t="inlineStr">
        <ns0:is>
          <ns0:t>المبلغ</ns0:t>
        </ns0:is>
      </ns0:c>
    </ns0:row>
    <ns0:row r="4" ht="27" customHeight="1">
      <ns0:c r="A4" s="2" t="inlineStr">
        <ns0:is>
          <ns0:t>الأصول</ns0:t>
        </ns0:is>
      </ns0:c>
      <ns0:c r="B4" s="2" t="inlineStr"/>
      <ns0:c r="C4" s="2" t="inlineStr"/>
    </ns0:row>
    <ns0:row r="5" ht="27" customHeight="1">
      <ns0:c r="A5" s="2" t="inlineStr">
        <ns0:is>
          <ns0:t>النقدية والبنك</ns0:t>
        </ns0:is>
      </ns0:c>
      <ns0:c r="B5" s="2" t="inlineStr">
        <ns0:is>
          <ns0:t>1010</ns0:t>
        </ns0:is>
      </ns0:c>
      <ns0:c r="C5" s="3">
        <ns0:f>'أرصدة 2026 أغسطس'!G2</ns0:f>
        <ns0:v>389725.98</ns0:v>
      </ns0:c>
    </ns0:row>
    <ns0:row r="6" ht="27" customHeight="1">
      <ns0:c r="A6" s="2" t="inlineStr">
        <ns0:is>
          <ns0:t>صندوق الفرع الرئيسي</ns0:t>
        </ns0:is>
      </ns0:c>
      <ns0:c r="B6" s="2" t="inlineStr">
        <ns0:is>
          <ns0:t>11111</ns0:t>
        </ns0:is>
      </ns0:c>
      <ns0:c r="C6" s="3">
        <ns0:f>'أرصدة 2026 أغسطس'!G3</ns0:f>
        <ns0:v>1529613.00</ns0:v>
      </ns0:c>
    </ns0:row>
    <ns0:row r="7" ht="27" customHeight="1">
      <ns0:c r="A7" s="2" t="inlineStr">
        <ns0:is>
          <ns0:t>البنك التجاري  - حساب الجاري</ns0:t>
        </ns0:is>
      </ns0:c>
      <ns0:c r="B7" s="2" t="inlineStr">
        <ns0:is>
          <ns0:t>11151</ns0:t>
        </ns0:is>
      </ns0:c>
      <ns0:c r="C7" s="3">
        <ns0:f>'أرصدة 2026 أغسطس'!G4</ns0:f>
        <ns0:v>2688833.63</ns0:v>
      </ns0:c>
    </ns0:row>
    <ns0:row r="8" ht="27" customHeight="1">
      <ns0:c r="A8" s="2" t="inlineStr">
        <ns0:is>
          <ns0:t>ايجار منتهي بالتملك</ns0:t>
        </ns0:is>
      </ns0:c>
      <ns0:c r="B8" s="2" t="inlineStr">
        <ns0:is>
          <ns0:t>11211</ns0:t>
        </ns0:is>
      </ns0:c>
      <ns0:c r="C8" s="3">
        <ns0:f>'أرصدة 2026 أغسطس'!G5</ns0:f>
        <ns0:v>-1405371.70</ns0:v>
      </ns0:c>
    </ns0:row>
    <ns0:row r="9" ht="27" customHeight="1">
      <ns0:c r="A9" s="2" t="inlineStr">
        <ns0:is>
          <ns0:t>عملاء أفراد - متأخرات</ns0:t>
        </ns0:is>
      </ns0:c>
      <ns0:c r="B9" s="2" t="inlineStr">
        <ns0:is>
          <ns0:t>11213</ns0:t>
        </ns0:is>
      </ns0:c>
      <ns0:c r="C9" s="3">
        <ns0:f>'أرصدة 2026 أغسطس'!G6</ns0:f>
        <ns0:v>165900.00</ns0:v>
      </ns0:c>
    </ns0:row>
    <ns0:row r="10" ht="27" customHeight="1">
      <ns0:c r="A10" s="2" t="inlineStr">
        <ns0:is>
          <ns0:t>شيكات البنك التجاري</ns0:t>
        </ns0:is>
      </ns0:c>
      <ns0:c r="B10" s="2" t="inlineStr">
        <ns0:is>
          <ns0:t>11521</ns0:t>
        </ns0:is>
      </ns0:c>
      <ns0:c r="C10" s="3">
        <ns0:f>'أرصدة 2026 أغسطس'!G7</ns0:f>
        <ns0:v>76846.00</ns0:v>
      </ns0:c>
    </ns0:row>
    <ns0:row r="11" ht="27" customHeight="1">
      <ns0:c r="A11" s="2" t="inlineStr">
        <ns0:is>
          <ns0:t>ضمانات نقدية - أفراد</ns0:t>
        </ns0:is>
      </ns0:c>
      <ns0:c r="B11" s="2" t="inlineStr">
        <ns0:is>
          <ns0:t>11611</ns0:t>
        </ns0:is>
      </ns0:c>
      <ns0:c r="C11" s="3">
        <ns0:f>'أرصدة 2026 أغسطس'!G8</ns0:f>
        <ns0:v>0.00</ns0:v>
      </ns0:c>
    </ns0:row>
    <ns0:row r="12" ht="27" customHeight="1">
      <ns0:c r="A12" s="2" t="inlineStr">
        <ns0:is>
          <ns0:t>ذمم العملاء</ns0:t>
        </ns0:is>
      </ns0:c>
      <ns0:c r="B12" s="2" t="inlineStr">
        <ns0:is>
          <ns0:t>1200</ns0:t>
        </ns0:is>
      </ns0:c>
      <ns0:c r="C12" s="3">
        <ns0:f>'أرصدة 2026 أغسطس'!G9</ns0:f>
        <ns0:v>17326672.09</ns0:v>
      </ns0:c>
    </ns0:row>
    <ns0:row r="13" ht="27" customHeight="1">
      <ns0:c r="A13" s="5" t="inlineStr">
        <ns0:is>
          <ns0:t>إجمالي الأصول</ns0:t>
        </ns0:is>
      </ns0:c>
      <ns0:c r="B13" s="5" t="inlineStr"/>
      <ns0:c r="C13" s="6">
        <ns0:f>SUM(C5:C12)</ns0:f>
        <ns0:v>20772219.00</ns0:v>
      </ns0:c>
    </ns0:row>
    <ns0:row r="14" ht="27" customHeight="1">
      <ns0:c r="A14" s="2" t="inlineStr">
        <ns0:is>
          <ns0:t>الالتزامات</ns0:t>
        </ns0:is>
      </ns0:c>
      <ns0:c r="B14" s="2" t="inlineStr"/>
      <ns0:c r="C14" s="2" t="inlineStr"/>
    </ns0:row>
    <ns0:row r="15" ht="27" customHeight="1">
      <ns0:c r="A15" s="2" t="inlineStr">
        <ns0:is>
          <ns0:t>دفعات مقدمة من العملاء</ns0:t>
        </ns0:is>
      </ns0:c>
      <ns0:c r="B15" s="2" t="inlineStr">
        <ns0:is>
          <ns0:t>20201</ns0:t>
        </ns0:is>
      </ns0:c>
      <ns0:c r="C15" s="3">
        <ns0:f>'أرصدة 2026 أغسطس'!G10</ns0:f>
        <ns0:v>2236660.91</ns0:v>
      </ns0:c>
    </ns0:row>
    <ns0:row r="16" ht="27" customHeight="1">
      <ns0:c r="A16" s="2" t="inlineStr">
        <ns0:is>
          <ns0:t>مخالفات مرورية مستحقة الدفع</ns0:t>
        </ns0:is>
      </ns0:c>
      <ns0:c r="B16" s="2" t="inlineStr">
        <ns0:is>
          <ns0:t>TVF-PAY-24bc0b21</ns0:t>
        </ns0:is>
      </ns0:c>
      <ns0:c r="C16" s="3">
        <ns0:f>'أرصدة 2026 أغسطس'!G17</ns0:f>
        <ns0:v>65200.00</ns0:v>
      </ns0:c>
    </ns0:row>
    <ns0:row r="17" ht="27" customHeight="1">
      <ns0:c r="A17" s="5" t="inlineStr">
        <ns0:is>
          <ns0:t>إجمالي الالتزامات</ns0:t>
        </ns0:is>
      </ns0:c>
      <ns0:c r="B17" s="5" t="inlineStr"/>
      <ns0:c r="C17" s="6">
        <ns0:f>SUM(C15:C16)</ns0:f>
        <ns0:v>2301860.91</ns0:v>
      </ns0:c>
    </ns0:row>
    <ns0:row r="18" ht="27" customHeight="1">
      <ns0:c r="A18" s="2" t="inlineStr">
        <ns0:is>
          <ns0:t>حقوق الملكية</ns0:t>
        </ns0:is>
      </ns0:c>
      <ns0:c r="B18" s="2" t="inlineStr"/>
      <ns0:c r="C18" s="2" t="inlineStr"/>
    </ns0:row>
    <ns0:row r="19" ht="27" customHeight="1">
      <ns0:c r="A19" s="2" t="inlineStr">
        <ns0:is>
          <ns0:t>الأرباح المحتجزة</ns0:t>
        </ns0:is>
      </ns0:c>
      <ns0:c r="B19" s="2" t="inlineStr">
        <ns0:is>
          <ns0:t>3100</ns0:t>
        </ns0:is>
      </ns0:c>
      <ns0:c r="C19" s="3">
        <ns0:f>'أرصدة 2026 أغسطس'!G11</ns0:f>
        <ns0:v>14623471.92</ns0:v>
      </ns0:c>
    </ns0:row>
    <ns0:row r="20" ht="27" customHeight="1">
      <ns0:c r="A20" s="5" t="inlineStr">
        <ns0:is>
          <ns0:t>إجمالي حقوق الملكية</ns0:t>
        </ns0:is>
      </ns0:c>
      <ns0:c r="B20" s="5" t="inlineStr"/>
      <ns0:c r="C20" s="6">
        <ns0:f>SUM(C19:C19)</ns0:f>
        <ns0:v>14623471.92</ns0:v>
      </ns0:c>
    </ns0:row>
    <ns0:row r="21" ht="27" customHeight="1">
      <ns0:c r="A21" s="2" t="inlineStr">
        <ns0:is>
          <ns0:t>صافي الإيرادات والمصروفات غير المقفلة</ns0:t>
        </ns0:is>
      </ns0:c>
      <ns0:c r="B21" s="2" t="inlineStr"/>
      <ns0:c r="C21" s="3">
        <ns0:f>SUMIF('أرصدة 2026 أغسطس'!C2:C17,"الإيرادات",'أرصدة 2026 أغسطس'!G2:G17)-SUMIF('أرصدة 2026 أغسطس'!C2:C17,"المصروفات",'أرصدة 2026 أغسطس'!G2:G17)</ns0:f>
        <ns0:v>3846886.17</ns0:v>
      </ns0:c>
    </ns0:row>
    <ns0:row r="22" ht="27" customHeight="1">
      <ns0:c r="A22" s="5" t="inlineStr">
        <ns0:is>
          <ns0:t>حقوق الملكية شاملة النتيجة غير المقفلة</ns0:t>
        </ns0:is>
      </ns0:c>
      <ns0:c r="B22" s="5" t="inlineStr"/>
      <ns0:c r="C22" s="6">
        <ns0:f>C20+C21</ns0:f>
        <ns0:v>18470358.09</ns0:v>
      </ns0:c>
    </ns0:row>
    <ns0:row r="23" ht="27" customHeight="1">
      <ns0:c r="A23" s="5" t="inlineStr">
        <ns0:is>
          <ns0:t>إجمالي الالتزامات وحقوق الملكية</ns0:t>
        </ns0:is>
      </ns0:c>
      <ns0:c r="B23" s="5" t="inlineStr"/>
      <ns0:c r="C23" s="6">
        <ns0:f>C17+C22</ns0:f>
        <ns0:v>20772219.00</ns0:v>
      </ns0:c>
    </ns0:row>
    <ns0:row r="24" ht="27" customHeight="1">
      <ns0:c r="A24" s="5" t="inlineStr">
        <ns0:is>
          <ns0:t>فرق المعادلة</ns0:t>
        </ns0:is>
      </ns0:c>
      <ns0:c r="B24" s="5" t="inlineStr"/>
      <ns0:c r="C24" s="6">
        <ns0:f>C13-C23</ns0:f>
        <ns0:v>0.00</ns0:v>
      </ns0:c>
    </ns0:row>
  </ns0:sheetData>
  <ns0:pageMargins left="0.75" right="0.75" top="1" bottom="1" header="0.5" footer="0.5"/>
  <ns0:pageSetup orientation="portrait" paperSize="9" fitToHeight="0" fitToWidth="1"/>
</ns0:worksheet>
</file>

<file path=xl/worksheets/sheet6.xml><?xml version="1.0" encoding="utf-8"?>
<ns0:worksheet xmlns:ns0="http://schemas.openxmlformats.org/spreadsheetml/2006/main">
  <ns0:sheetPr>
    <ns0:outlinePr summaryBelow="1" summaryRight="1"/>
    <ns0:pageSetUpPr fitToPage="1"/>
  </ns0:sheetPr>
  <ns0:dimension ref="A1:B16"/>
  <ns0:sheetViews>
    <ns0:sheetView showGridLines="0" rightToLeft="1" workbookViewId="0">
      <ns0:pane xSplit="1" ySplit="1" topLeftCell="B2" activePane="bottomRight" state="frozen"/>
      <ns0:selection pane="topRight"/>
      <ns0:selection pane="bottomLeft"/>
      <ns0:selection pane="bottomRight" activeCell="A1" sqref="A1"/>
    </ns0:sheetView>
  </ns0:sheetViews>
  <ns0:sheetFormatPr baseColWidth="8" defaultRowHeight="15"/>
  <ns0:cols>
    <ns0:col width="31" customWidth="1" min="1" max="1"/>
    <ns0:col width="112" customWidth="1" min="2" max="2"/>
  </ns0:cols>
  <ns0:sheetData>
    <ns0:row r="1" ht="27" customHeight="1">
      <ns0:c r="A1" s="1" t="inlineStr">
        <ns0:is>
          <ns0:t>التاريخ</ns0:t>
        </ns0:is>
      </ns0:c>
      <ns0:c r="B1" s="1" t="inlineStr">
        <ns0:is>
          <ns0:t>الملاحظة</ns0:t>
        </ns0:is>
      </ns0:c>
    </ns0:row>
    <ns0:row r="2" ht="58" customHeight="1">
      <ns0:c r="A2" s="2" t="inlineStr">
        <ns0:is>
          <ns0:t>2025-12-31</ns0:t>
        </ns0:is>
      </ns0:c>
      <ns0:c r="B2" s="2" t="inlineStr">
        <ns0:is>
          <ns0:t>لا تظهر أرصدة مرحلة للسيارات والأصول الثابتة أو مجمع الإهلاك أو رأس المال. ومن سجل الأسطول الحالي، تفتقد 221 مركبة من أصل 223 تاريخ الشراء وتكلفته، مع أصلين ثابتين فقط بقيمة إجمالية 170,000 ر.ق. هذا فحص اكتمال للسجل الحالي، وليس حصرًا تاريخيًا لملكية المركبات؛ يلزم مستندات وسجل أصول معتمد.</ns0:t>
        </ns0:is>
      </ns0:c>
    </ns0:row>
    <ns0:row r="3" ht="58" customHeight="1">
      <ns0:c r="A3" s="2" t="inlineStr">
        <ns0:is>
          <ns0:t>2025-12-31</ns0:t>
        </ns0:is>
      </ns0:c>
      <ns0:c r="B3" s="2" t="inlineStr">
        <ns0:is>
          <ns0:t>حساب 11211 «إيجار منتهي بالتملك» مصنف أصلًا، ورصيده دائن بمبلغ 2,755,382.61 ر.ق. أُبقي بإشارته السالبة داخل الأصول؛ يلزم تفسيره ومراجعة تصنيفه قبل الاعتماد.</ns0:t>
        </ns0:is>
      </ns0:c>
    </ns0:row>
    <ns0:row r="4" ht="58" customHeight="1">
      <ns0:c r="A4" s="2" t="inlineStr">
        <ns0:is>
          <ns0:t>2025-12-31</ns0:t>
        </ns0:is>
      </ns0:c>
      <ns0:c r="B4" s="2" t="inlineStr">
        <ns0:is>
          <ns0:t>استُبعدت 86 مسودة قيد مؤرخة حتى تاريخ القائمة. يجب تحديد ما يخص الفترة منها وما يلزم تصحيحه أو ترحيله بعد المراجعة.</ns0:t>
        </ns0:is>
      </ns0:c>
    </ns0:row>
    <ns0:row r="5" ht="58" customHeight="1">
      <ns0:c r="A5" s="2" t="inlineStr">
        <ns0:is>
          <ns0:t>2025-12-31</ns0:t>
        </ns0:is>
      </ns0:c>
      <ns0:c r="B5" s="2" t="inlineStr">
        <ns0:is>
          <ns0:t>توجد حركات على حسابات من المستوى الثاني، وتفتقر معظم الحسابات ذات الحركة إلى تصنيف فرعي. يلزم مراجعة حسابات الترحيل وتصنيف المتداول وغير المتداول. لا توجد ضمن الحركات المستخرجة مصروفات رواتب أو إيجار أو تأمين أو وقود أو إهلاك؛ غيابها لا يثبت عدم تحمل الشركة لها.</ns0:t>
        </ns0:is>
      </ns0:c>
    </ns0:row>
    <ns0:row r="6" ht="58" customHeight="1">
      <ns0:c r="A6" s="2" t="inlineStr">
        <ns0:is>
          <ns0:t>2025-12-31</ns0:t>
        </ns0:is>
      </ns0:c>
      <ns0:c r="B6" s="2" t="inlineStr">
        <ns0:is>
          <ns0:t>لم تُطابق الأرصدة مع كشوف البنوك والصندوق أو كشوف العملاء والموردين، ولم يُتحقق من اكتمال المصروفات والرواتب والقروض والالتزامات. توازن الأرقام وحده لا يثبت اكتمالها أو صحتها المستندية.</ns0:t>
        </ns0:is>
      </ns0:c>
    </ns0:row>
    <ns0:row r="7" ht="58" customHeight="1">
      <ns0:c r="A7" s="2" t="inlineStr">
        <ns0:is>
          <ns0:t>2025-12-31</ns0:t>
        </ns0:is>
      </ns0:c>
      <ns0:c r="B7" s="2" t="inlineStr">
        <ns0:is>
          <ns0:t>لا يظهر رصيد مرحّل في حسابات حقوق الملكية حتى نهاية 2025. تظهر حقوق الملكية في هذه المسودة من صافي أرصدة الإيرادات والمصروفات غير المقفلة؛ وهذا لا يثبت رأس المال الفعلي أو صحة تسويات الإقفال.</ns0:t>
        </ns0:is>
      </ns0:c>
    </ns0:row>
    <ns0:row r="8" ht="58" customHeight="1">
      <ns0:c r="A8" s="2" t="inlineStr">
        <ns0:is>
          <ns0:t>2025-12-31</ns0:t>
        </ns0:is>
      </ns0:c>
      <ns0:c r="B8" s="2" t="inlineStr">
        <ns0:is>
          <ns0:t>توجد 2,480 قيود أصلية مشمولة عُكست بقيود مؤرخة بعد تاريخ القائمة. أُبقي الأصل حتى تاريخ عكسه وفق التاريخ المحاسبي المسجل؛ يلزم تقييم التصحيحات اللاحقة قبل اعتماد قائمة معدلة عن الفترة.</ns0:t>
        </ns0:is>
      </ns0:c>
    </ns0:row>
    <ns0:row r="9" ht="58" customHeight="1">
      <ns0:c r="A9" s="2" t="inlineStr">
        <ns0:is>
          <ns0:t>2026-08-31</ns0:t>
        </ns0:is>
      </ns0:c>
      <ns0:c r="B9" s="2" t="inlineStr">
        <ns0:is>
          <ns0:t>لا تظهر أرصدة مرحلة للسيارات والأصول الثابتة أو مجمع الإهلاك أو رأس المال. ومن سجل الأسطول الحالي، تفتقد 221 مركبة من أصل 223 تاريخ الشراء وتكلفته، مع أصلين ثابتين فقط بقيمة إجمالية 170,000 ر.ق. هذا فحص اكتمال للسجل الحالي، وليس حصرًا تاريخيًا لملكية المركبات؛ يلزم مستندات وسجل أصول معتمد.</ns0:t>
        </ns0:is>
      </ns0:c>
    </ns0:row>
    <ns0:row r="10" ht="58" customHeight="1">
      <ns0:c r="A10" s="2" t="inlineStr">
        <ns0:is>
          <ns0:t>2026-08-31</ns0:t>
        </ns0:is>
      </ns0:c>
      <ns0:c r="B10" s="2" t="inlineStr">
        <ns0:is>
          <ns0:t>حساب 11211 «إيجار منتهي بالتملك» مصنف أصلًا، ورصيده دائن بمبلغ 1,405,371.70 ر.ق. أُبقي بإشارته السالبة داخل الأصول؛ يلزم تفسيره ومراجعة تصنيفه قبل الاعتماد.</ns0:t>
        </ns0:is>
      </ns0:c>
    </ns0:row>
    <ns0:row r="11" ht="58" customHeight="1">
      <ns0:c r="A11" s="2" t="inlineStr">
        <ns0:is>
          <ns0:t>2026-08-31</ns0:t>
        </ns0:is>
      </ns0:c>
      <ns0:c r="B11" s="2" t="inlineStr">
        <ns0:is>
          <ns0:t>استُبعدت 356 مسودة قيد مؤرخة حتى تاريخ القائمة. يجب تحديد ما يخص الفترة منها وما يلزم تصحيحه أو ترحيله بعد المراجعة.</ns0:t>
        </ns0:is>
      </ns0:c>
    </ns0:row>
    <ns0:row r="12" ht="58" customHeight="1">
      <ns0:c r="A12" s="2" t="inlineStr">
        <ns0:is>
          <ns0:t>2026-08-31</ns0:t>
        </ns0:is>
      </ns0:c>
      <ns0:c r="B12" s="2" t="inlineStr">
        <ns0:is>
          <ns0:t>توجد حركات على حسابات من المستوى الثاني، وتفتقر معظم الحسابات ذات الحركة إلى تصنيف فرعي. يلزم مراجعة حسابات الترحيل وتصنيف المتداول وغير المتداول. لا توجد ضمن الحركات المستخرجة مصروفات رواتب أو إيجار أو تأمين أو وقود أو إهلاك؛ غيابها لا يثبت عدم تحمل الشركة لها.</ns0:t>
        </ns0:is>
      </ns0:c>
    </ns0:row>
    <ns0:row r="13" ht="58" customHeight="1">
      <ns0:c r="A13" s="2" t="inlineStr">
        <ns0:is>
          <ns0:t>2026-08-31</ns0:t>
        </ns0:is>
      </ns0:c>
      <ns0:c r="B13" s="2" t="inlineStr">
        <ns0:is>
          <ns0:t>لم تُطابق الأرصدة مع كشوف البنوك والصندوق أو كشوف العملاء والموردين، ولم يُتحقق من اكتمال المصروفات والرواتب والقروض والالتزامات. توازن الأرقام وحده لا يثبت اكتمالها أو صحتها المستندية.</ns0:t>
        </ns0:is>
      </ns0:c>
    </ns0:row>
    <ns0:row r="14" ht="58" customHeight="1">
      <ns0:c r="A14" s="2" t="inlineStr">
        <ns0:is>
          <ns0:t>2026-08-31</ns0:t>
        </ns0:is>
      </ns0:c>
      <ns0:c r="B14" s="2" t="inlineStr">
        <ns0:is>
          <ns0:t>توجد قيود إقفال مرحلة خلال 2026؛ مبلغ الأرباح المحتجزة هنا من حساب حقوق الملكية كما هو مسجل. بند النتيجة غير المقفلة هو صافي الأرصدة المتبقية في حسابات الإيرادات والمصروفات، وليس تقرير أرباح سنة 2026 مستقلًا. يلزم مراجعة الإقفال وترحيل الأرصدة.</ns0:t>
        </ns0:is>
      </ns0:c>
    </ns0:row>
    <ns0:row r="15" ht="58" customHeight="1">
      <ns0:c r="A15" s="2" t="inlineStr">
        <ns0:is>
          <ns0:t>2026-08-31</ns0:t>
        </ns0:is>
      </ns0:c>
      <ns0:c r="B15" s="2" t="inlineStr">
        <ns0:is>
          <ns0:t>توجد 2,168 قيود أصلية مشمولة عُكست بقيود مؤرخة بعد تاريخ القائمة. أُبقي الأصل حتى تاريخ عكسه وفق التاريخ المحاسبي المسجل؛ يلزم تقييم التصحيحات اللاحقة قبل اعتماد قائمة معدلة عن الفترة.</ns0:t>
        </ns0:is>
      </ns0:c>
    </ns0:row>
    <ns0:row r="16" ht="58" customHeight="1">
      <ns0:c r="A16" s="2" t="inlineStr">
        <ns0:is>
          <ns0:t>المنهج</ns0:t>
        </ns0:is>
      </ns0:c>
      <ns0:c r="B16" s="2" t="inlineStr">
        <ns0:is>
          <ns0:t>قائمة 2026 حتى أغسطس وليست نهاية السنة. لا يُدّعى اكتمال القوائم أو مطابقتها لجميع متطلبات IFRS.</ns0:t>
        </ns0:is>
      </ns0:c>
    </ns0:row>
  </ns0:sheetData>
  <ns0:pageMargins left="0.75" right="0.75" top="1" bottom="1" header="0.5" footer="0.5"/>
  <ns0:pageSetup orientation="portrait" paperSize="9" fitToHeight="0" fitToWidth="1"/>
</ns0:worksheet>
</file>

<file path=xl/worksheets/sheet7.xml><?xml version="1.0" encoding="utf-8"?>
<ns0:worksheet xmlns:ns0="http://schemas.openxmlformats.org/spreadsheetml/2006/main">
  <ns0:sheetPr>
    <ns0:outlinePr summaryBelow="1" summaryRight="1"/>
    <ns0:pageSetUpPr fitToPage="1"/>
  </ns0:sheetPr>
  <ns0:dimension ref="A1:C9"/>
  <ns0:sheetViews>
    <ns0:sheetView showGridLines="0" rightToLeft="1" workbookViewId="0">
      <ns0:selection activeCell="A1" sqref="A1"/>
    </ns0:sheetView>
  </ns0:sheetViews>
  <ns0:sheetFormatPr baseColWidth="8" defaultRowHeight="15"/>
  <ns0:cols>
    <ns0:col width="42" customWidth="1" min="1" max="1"/>
    <ns0:col width="23" customWidth="1" min="2" max="2"/>
    <ns0:col width="23" customWidth="1" min="3" max="3"/>
  </ns0:cols>
  <ns0:sheetData>
    <ns0:row r="1" ht="27" customHeight="1">
      <ns0:c r="A1" s="1" t="inlineStr">
        <ns0:is>
          <ns0:t>البند</ns0:t>
        </ns0:is>
      </ns0:c>
      <ns0:c r="B1" s="1" t="inlineStr">
        <ns0:is>
          <ns0:t>2025-12-31</ns0:t>
        </ns0:is>
      </ns0:c>
      <ns0:c r="C1" s="1" t="inlineStr">
        <ns0:is>
          <ns0:t>2026-08-31</ns0:t>
        </ns0:is>
      </ns0:c>
    </ns0:row>
    <ns0:row r="2" ht="27" customHeight="1">
      <ns0:c r="A2" s="2" t="inlineStr">
        <ns0:is>
          <ns0:t>إجمالي الأصول</ns0:t>
        </ns0:is>
      </ns0:c>
      <ns0:c r="B2" s="3" t="n">
        <ns0:v>10298179.17</ns0:v>
      </ns0:c>
      <ns0:c r="C2" s="3" t="n">
        <ns0:v>20772219</ns0:v>
      </ns0:c>
    </ns0:row>
    <ns0:row r="3" ht="27" customHeight="1">
      <ns0:c r="A3" s="2" t="inlineStr">
        <ns0:is>
          <ns0:t>إجمالي الالتزامات</ns0:t>
        </ns0:is>
      </ns0:c>
      <ns0:c r="B3" s="3" t="n">
        <ns0:v>1499975</ns0:v>
      </ns0:c>
      <ns0:c r="C3" s="3" t="n">
        <ns0:v>2301860.91</ns0:v>
      </ns0:c>
    </ns0:row>
    <ns0:row r="4" ht="27" customHeight="1">
      <ns0:c r="A4" s="2" t="inlineStr">
        <ns0:is>
          <ns0:t>حسابات حقوق الملكية</ns0:t>
        </ns0:is>
      </ns0:c>
      <ns0:c r="B4" s="3" t="n">
        <ns0:v>0</ns0:v>
      </ns0:c>
      <ns0:c r="C4" s="3" t="n">
        <ns0:v>14623471.92</ns0:v>
      </ns0:c>
    </ns0:row>
    <ns0:row r="5" ht="27" customHeight="1">
      <ns0:c r="A5" s="2" t="inlineStr">
        <ns0:is>
          <ns0:t>النتيجة غير المقفلة</ns0:t>
        </ns0:is>
      </ns0:c>
      <ns0:c r="B5" s="3" t="n">
        <ns0:v>8798204.17</ns0:v>
      </ns0:c>
      <ns0:c r="C5" s="3" t="n">
        <ns0:v>3846886.17</ns0:v>
      </ns0:c>
    </ns0:row>
    <ns0:row r="6" ht="27" customHeight="1">
      <ns0:c r="A6" s="2" t="inlineStr">
        <ns0:is>
          <ns0:t>حقوق الملكية شاملة النتيجة</ns0:t>
        </ns0:is>
      </ns0:c>
      <ns0:c r="B6" s="3" t="n">
        <ns0:v>8798204.17</ns0:v>
      </ns0:c>
      <ns0:c r="C6" s="3" t="n">
        <ns0:v>18470358.09</ns0:v>
      </ns0:c>
    </ns0:row>
    <ns0:row r="7" ht="27" customHeight="1">
      <ns0:c r="A7" s="2" t="inlineStr">
        <ns0:is>
          <ns0:t>الالتزامات وحقوق الملكية</ns0:t>
        </ns0:is>
      </ns0:c>
      <ns0:c r="B7" s="3" t="n">
        <ns0:v>10298179.17</ns0:v>
      </ns0:c>
      <ns0:c r="C7" s="3" t="n">
        <ns0:v>20772219</ns0:v>
      </ns0:c>
    </ns0:row>
    <ns0:row r="8" ht="27" customHeight="1">
      <ns0:c r="A8" s="2" t="inlineStr">
        <ns0:is>
          <ns0:t>فرق المعادلة</ns0:t>
        </ns0:is>
      </ns0:c>
      <ns0:c r="B8" s="3" t="n">
        <ns0:v>0</ns0:v>
      </ns0:c>
      <ns0:c r="C8" s="3" t="n">
        <ns0:v>0</ns0:v>
      </ns0:c>
    </ns0:row>
    <ns0:row r="9" ht="27" customHeight="1">
      <ns0:c r="A9" s="2" t="inlineStr">
        <ns0:is>
          <ns0:t>قيم ثابتة وقت الاستخراج؛ الحسابات التفصيلية في الأوراق الأخرى</ns0:t>
        </ns0:is>
      </ns0:c>
      <ns0:c r="B9" s="2" t="n"/>
      <ns0:c r="C9" s="2" t="n"/>
    </ns0:row>
  </ns0:sheetData>
  <ns0:pageMargins left="0.75" right="0.75" top="1" bottom="1" header="0.5" footer="0.5"/>
  <ns0:pageSetup orientation="portrait" paperSize="9" fitToHeight="0" fitToWidth="1"/>
</ns0: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2026-09-17T21:42:19Z</dcterms:created>
  <dcterms:modified xmlns:dcterms="http://purl.org/dc/terms/" xmlns:xsi="http://www.w3.org/2001/XMLSchema-instance" xsi:type="dcterms:W3CDTF">2026-09-17T21:42:19Z</dcterms:modified>
</cp:coreProperties>
</file>